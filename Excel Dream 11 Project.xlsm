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E:\NAINIL\Certificates\"/>
    </mc:Choice>
  </mc:AlternateContent>
  <bookViews>
    <workbookView xWindow="0" yWindow="0" windowWidth="14040" windowHeight="10110" firstSheet="2" activeTab="12"/>
  </bookViews>
  <sheets>
    <sheet name="Questions" sheetId="1" r:id="rId1"/>
    <sheet name="Hypothesis" sheetId="2" r:id="rId2"/>
    <sheet name="Rules" sheetId="3" r:id="rId3"/>
    <sheet name="Batsmen 20" sheetId="4" r:id="rId4"/>
    <sheet name="Bowlers 20" sheetId="5" r:id="rId5"/>
    <sheet name="All Rounders 20" sheetId="6" r:id="rId6"/>
    <sheet name="Batsmen 19" sheetId="7" r:id="rId7"/>
    <sheet name="Bowlers 19" sheetId="8" r:id="rId8"/>
    <sheet name="All Rounders 19" sheetId="9" r:id="rId9"/>
    <sheet name="HYP1 " sheetId="10" r:id="rId10"/>
    <sheet name="HYP2" sheetId="11" r:id="rId11"/>
    <sheet name="HYP3" sheetId="12" r:id="rId12"/>
    <sheet name="HYP4" sheetId="14" r:id="rId13"/>
    <sheet name="Insight" sheetId="13" r:id="rId14"/>
  </sheets>
  <definedNames>
    <definedName name="_xlnm._FilterDatabase" localSheetId="9" hidden="1">'HYP1 '!$B$37:$E$58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6" i="14" l="1"/>
  <c r="AH37" i="14"/>
  <c r="AH38" i="14"/>
  <c r="R6" i="6"/>
  <c r="R7" i="6"/>
  <c r="R8" i="6"/>
  <c r="R9" i="6"/>
  <c r="R10" i="6"/>
  <c r="R11" i="6"/>
  <c r="R12" i="6"/>
  <c r="R13" i="6"/>
  <c r="H9" i="13" l="1"/>
  <c r="H10" i="13"/>
  <c r="H11" i="13"/>
  <c r="H12" i="13"/>
  <c r="G9" i="13"/>
  <c r="G10" i="13"/>
  <c r="G11" i="13"/>
  <c r="G12" i="13"/>
  <c r="AH71" i="14"/>
  <c r="AH57" i="14"/>
  <c r="AH86" i="14"/>
  <c r="AH85" i="14"/>
  <c r="AH72" i="14"/>
  <c r="AH58" i="14"/>
  <c r="O81" i="14"/>
  <c r="N81" i="14"/>
  <c r="O80" i="14"/>
  <c r="N80" i="14"/>
  <c r="O79" i="14"/>
  <c r="N79" i="14"/>
  <c r="O78" i="14"/>
  <c r="N78" i="14"/>
  <c r="O77" i="14"/>
  <c r="N77" i="14"/>
  <c r="O76" i="14"/>
  <c r="N76" i="14"/>
  <c r="O75" i="14"/>
  <c r="N75" i="14"/>
  <c r="O74" i="14"/>
  <c r="N74" i="14"/>
  <c r="O73" i="14"/>
  <c r="N73" i="14"/>
  <c r="O72" i="14"/>
  <c r="N72" i="14"/>
  <c r="O71" i="14"/>
  <c r="N71" i="14"/>
  <c r="R66" i="14"/>
  <c r="P66" i="14"/>
  <c r="O66" i="14"/>
  <c r="R65" i="14"/>
  <c r="P65" i="14"/>
  <c r="O65" i="14"/>
  <c r="R64" i="14"/>
  <c r="P64" i="14"/>
  <c r="O64" i="14"/>
  <c r="R63" i="14"/>
  <c r="P63" i="14"/>
  <c r="O63" i="14"/>
  <c r="R62" i="14"/>
  <c r="P62" i="14"/>
  <c r="O62" i="14"/>
  <c r="R61" i="14"/>
  <c r="P61" i="14"/>
  <c r="O61" i="14"/>
  <c r="R60" i="14"/>
  <c r="P60" i="14"/>
  <c r="O60" i="14"/>
  <c r="R59" i="14"/>
  <c r="P59" i="14"/>
  <c r="O59" i="14"/>
  <c r="R58" i="14"/>
  <c r="P58" i="14"/>
  <c r="O58" i="14"/>
  <c r="R57" i="14"/>
  <c r="P57" i="14"/>
  <c r="O57" i="14"/>
  <c r="R56" i="14"/>
  <c r="P56" i="14"/>
  <c r="O56" i="14"/>
  <c r="AH23" i="14"/>
  <c r="AH22" i="14"/>
  <c r="AH9" i="14"/>
  <c r="AH8" i="14"/>
  <c r="O33" i="14"/>
  <c r="N33" i="14"/>
  <c r="O32" i="14"/>
  <c r="N32" i="14"/>
  <c r="O31" i="14"/>
  <c r="N31" i="14"/>
  <c r="O30" i="14"/>
  <c r="N30" i="14"/>
  <c r="O29" i="14"/>
  <c r="N29" i="14"/>
  <c r="O28" i="14"/>
  <c r="N28" i="14"/>
  <c r="O27" i="14"/>
  <c r="N27" i="14"/>
  <c r="O26" i="14"/>
  <c r="N26" i="14"/>
  <c r="O25" i="14"/>
  <c r="N25" i="14"/>
  <c r="O24" i="14"/>
  <c r="N24" i="14"/>
  <c r="O23" i="14"/>
  <c r="N23" i="14"/>
  <c r="O8" i="14"/>
  <c r="P8" i="14"/>
  <c r="O9" i="14"/>
  <c r="P9" i="14"/>
  <c r="O10" i="14"/>
  <c r="P10" i="14"/>
  <c r="O11" i="14"/>
  <c r="P11" i="14"/>
  <c r="O12" i="14"/>
  <c r="P12" i="14"/>
  <c r="O13" i="14"/>
  <c r="P13" i="14"/>
  <c r="O14" i="14"/>
  <c r="P14" i="14"/>
  <c r="O15" i="14"/>
  <c r="P15" i="14"/>
  <c r="O16" i="14"/>
  <c r="P16" i="14"/>
  <c r="O17" i="14"/>
  <c r="P17" i="14"/>
  <c r="O18" i="14"/>
  <c r="P18" i="14"/>
  <c r="R18" i="14"/>
  <c r="R17" i="14"/>
  <c r="R16" i="14"/>
  <c r="R15" i="14"/>
  <c r="R14" i="14"/>
  <c r="R13" i="14"/>
  <c r="R12" i="14"/>
  <c r="R11" i="14"/>
  <c r="R10" i="14"/>
  <c r="R9" i="14"/>
  <c r="R8" i="14"/>
  <c r="AH38" i="10"/>
  <c r="AH37" i="10"/>
  <c r="AH39" i="10" s="1"/>
  <c r="AH23" i="10"/>
  <c r="AH24" i="10" s="1"/>
  <c r="AH22" i="10"/>
  <c r="AH9" i="10"/>
  <c r="AH8" i="10"/>
  <c r="AH10" i="10" s="1"/>
  <c r="H8" i="13"/>
  <c r="G8" i="13"/>
  <c r="Q61" i="14" l="1"/>
  <c r="Q63" i="14"/>
  <c r="Q58" i="14"/>
  <c r="Q62" i="14"/>
  <c r="Q16" i="14"/>
  <c r="Q15" i="14"/>
  <c r="Q14" i="14"/>
  <c r="Q11" i="14"/>
  <c r="Q8" i="14"/>
  <c r="U8" i="14" s="1"/>
  <c r="P25" i="14"/>
  <c r="P28" i="14"/>
  <c r="Q18" i="14"/>
  <c r="Q12" i="14"/>
  <c r="Q9" i="14"/>
  <c r="U9" i="14" s="1"/>
  <c r="Q10" i="14"/>
  <c r="P24" i="14"/>
  <c r="U24" i="14" s="1"/>
  <c r="P27" i="14"/>
  <c r="P33" i="14"/>
  <c r="Q56" i="14"/>
  <c r="U56" i="14" s="1"/>
  <c r="P72" i="14"/>
  <c r="U72" i="14" s="1"/>
  <c r="P75" i="14"/>
  <c r="P78" i="14"/>
  <c r="P81" i="14"/>
  <c r="AH87" i="14"/>
  <c r="Q60" i="14"/>
  <c r="Q64" i="14"/>
  <c r="Q66" i="14"/>
  <c r="P73" i="14"/>
  <c r="P76" i="14"/>
  <c r="P79" i="14"/>
  <c r="Q13" i="14"/>
  <c r="P29" i="14"/>
  <c r="AH24" i="14"/>
  <c r="Q57" i="14"/>
  <c r="U57" i="14" s="1"/>
  <c r="Q59" i="14"/>
  <c r="Q65" i="14"/>
  <c r="P71" i="14"/>
  <c r="U71" i="14" s="1"/>
  <c r="P74" i="14"/>
  <c r="P77" i="14"/>
  <c r="P80" i="14"/>
  <c r="AH73" i="14"/>
  <c r="AH59" i="14"/>
  <c r="AH10" i="14"/>
  <c r="P23" i="14"/>
  <c r="U23" i="14" s="1"/>
  <c r="P30" i="14"/>
  <c r="Q17" i="14"/>
  <c r="P31" i="14"/>
  <c r="P32" i="14"/>
  <c r="P26" i="14"/>
  <c r="G9" i="12"/>
  <c r="U23" i="12"/>
  <c r="U36" i="12"/>
  <c r="U22" i="12"/>
  <c r="U35" i="12"/>
  <c r="U37" i="12" s="1"/>
  <c r="U21" i="12"/>
  <c r="U8" i="12"/>
  <c r="U7" i="12"/>
  <c r="U9" i="12" s="1"/>
  <c r="R32" i="10"/>
  <c r="P32" i="10"/>
  <c r="O32" i="10"/>
  <c r="R31" i="10"/>
  <c r="P31" i="10"/>
  <c r="O31" i="10"/>
  <c r="Q31" i="10" s="1"/>
  <c r="R30" i="10"/>
  <c r="P30" i="10"/>
  <c r="Q30" i="10" s="1"/>
  <c r="O30" i="10"/>
  <c r="R29" i="10"/>
  <c r="P29" i="10"/>
  <c r="O29" i="10"/>
  <c r="R28" i="10"/>
  <c r="P28" i="10"/>
  <c r="O28" i="10"/>
  <c r="R27" i="10"/>
  <c r="P27" i="10"/>
  <c r="O27" i="10"/>
  <c r="R26" i="10"/>
  <c r="P26" i="10"/>
  <c r="Q26" i="10" s="1"/>
  <c r="O26" i="10"/>
  <c r="R25" i="10"/>
  <c r="P25" i="10"/>
  <c r="O25" i="10"/>
  <c r="Q25" i="10" s="1"/>
  <c r="R24" i="10"/>
  <c r="P24" i="10"/>
  <c r="Q24" i="10" s="1"/>
  <c r="O24" i="10"/>
  <c r="R23" i="10"/>
  <c r="P23" i="10"/>
  <c r="O23" i="10"/>
  <c r="R22" i="10"/>
  <c r="P22" i="10"/>
  <c r="O22" i="10"/>
  <c r="R18" i="10"/>
  <c r="P18" i="10"/>
  <c r="O18" i="10"/>
  <c r="R17" i="10"/>
  <c r="P17" i="10"/>
  <c r="O17" i="10"/>
  <c r="R16" i="10"/>
  <c r="P16" i="10"/>
  <c r="O16" i="10"/>
  <c r="R15" i="10"/>
  <c r="P15" i="10"/>
  <c r="Q15" i="10" s="1"/>
  <c r="O15" i="10"/>
  <c r="R14" i="10"/>
  <c r="P14" i="10"/>
  <c r="O14" i="10"/>
  <c r="Q14" i="10" s="1"/>
  <c r="R13" i="10"/>
  <c r="P13" i="10"/>
  <c r="Q13" i="10" s="1"/>
  <c r="O13" i="10"/>
  <c r="R12" i="10"/>
  <c r="P12" i="10"/>
  <c r="O12" i="10"/>
  <c r="R11" i="10"/>
  <c r="P11" i="10"/>
  <c r="O11" i="10"/>
  <c r="R10" i="10"/>
  <c r="P10" i="10"/>
  <c r="O10" i="10"/>
  <c r="R9" i="10"/>
  <c r="P9" i="10"/>
  <c r="Q9" i="10" s="1"/>
  <c r="U9" i="10" s="1"/>
  <c r="O9" i="10"/>
  <c r="R8" i="10"/>
  <c r="P8" i="10"/>
  <c r="O8" i="10"/>
  <c r="Q8" i="10" s="1"/>
  <c r="U8" i="10" s="1"/>
  <c r="N8" i="12"/>
  <c r="N7" i="12"/>
  <c r="N9" i="12" s="1"/>
  <c r="G8" i="12"/>
  <c r="G7" i="12"/>
  <c r="I38" i="11"/>
  <c r="I37" i="11"/>
  <c r="I39" i="11" s="1"/>
  <c r="O32" i="11"/>
  <c r="N32" i="11"/>
  <c r="O31" i="11"/>
  <c r="N31" i="11"/>
  <c r="O30" i="11"/>
  <c r="N30" i="11"/>
  <c r="P30" i="11" s="1"/>
  <c r="O29" i="11"/>
  <c r="N29" i="11"/>
  <c r="O28" i="11"/>
  <c r="N28" i="11"/>
  <c r="O27" i="11"/>
  <c r="N27" i="11"/>
  <c r="O26" i="11"/>
  <c r="N26" i="11"/>
  <c r="P26" i="11" s="1"/>
  <c r="O25" i="11"/>
  <c r="N25" i="11"/>
  <c r="O24" i="11"/>
  <c r="N24" i="11"/>
  <c r="O23" i="11"/>
  <c r="N23" i="11"/>
  <c r="O22" i="11"/>
  <c r="N22" i="11"/>
  <c r="O18" i="11"/>
  <c r="N18" i="11"/>
  <c r="O17" i="11"/>
  <c r="N17" i="11"/>
  <c r="O16" i="11"/>
  <c r="N16" i="11"/>
  <c r="O15" i="11"/>
  <c r="N15" i="11"/>
  <c r="O14" i="11"/>
  <c r="N14" i="11"/>
  <c r="O13" i="11"/>
  <c r="P13" i="11" s="1"/>
  <c r="N13" i="11"/>
  <c r="O12" i="11"/>
  <c r="N12" i="11"/>
  <c r="O11" i="11"/>
  <c r="N11" i="11"/>
  <c r="O10" i="11"/>
  <c r="N10" i="11"/>
  <c r="O9" i="11"/>
  <c r="N9" i="11"/>
  <c r="O8" i="11"/>
  <c r="N8" i="11"/>
  <c r="L38" i="10"/>
  <c r="L37" i="10"/>
  <c r="L39" i="10" s="1"/>
  <c r="P23" i="9"/>
  <c r="N23" i="9"/>
  <c r="M23" i="9"/>
  <c r="O23" i="9" s="1"/>
  <c r="P22" i="9"/>
  <c r="N22" i="9"/>
  <c r="M22" i="9"/>
  <c r="P21" i="9"/>
  <c r="N21" i="9"/>
  <c r="M21" i="9"/>
  <c r="O21" i="9" s="1"/>
  <c r="P20" i="9"/>
  <c r="N20" i="9"/>
  <c r="M20" i="9"/>
  <c r="P19" i="9"/>
  <c r="N19" i="9"/>
  <c r="M19" i="9"/>
  <c r="O19" i="9" s="1"/>
  <c r="P18" i="9"/>
  <c r="N18" i="9"/>
  <c r="M18" i="9"/>
  <c r="P17" i="9"/>
  <c r="N17" i="9"/>
  <c r="M17" i="9"/>
  <c r="O17" i="9" s="1"/>
  <c r="R11" i="9"/>
  <c r="O11" i="9"/>
  <c r="N11" i="9"/>
  <c r="R10" i="9"/>
  <c r="O10" i="9"/>
  <c r="N10" i="9"/>
  <c r="R9" i="9"/>
  <c r="O9" i="9"/>
  <c r="N9" i="9"/>
  <c r="R8" i="9"/>
  <c r="O8" i="9"/>
  <c r="N8" i="9"/>
  <c r="R7" i="9"/>
  <c r="O7" i="9"/>
  <c r="N7" i="9"/>
  <c r="R6" i="9"/>
  <c r="O6" i="9"/>
  <c r="N6" i="9"/>
  <c r="P29" i="6"/>
  <c r="N29" i="6"/>
  <c r="M29" i="6"/>
  <c r="P28" i="6"/>
  <c r="N28" i="6"/>
  <c r="M28" i="6"/>
  <c r="P27" i="6"/>
  <c r="N27" i="6"/>
  <c r="M27" i="6"/>
  <c r="P26" i="6"/>
  <c r="N26" i="6"/>
  <c r="M26" i="6"/>
  <c r="P25" i="6"/>
  <c r="N25" i="6"/>
  <c r="M25" i="6"/>
  <c r="P24" i="6"/>
  <c r="N24" i="6"/>
  <c r="M24" i="6"/>
  <c r="P23" i="6"/>
  <c r="N23" i="6"/>
  <c r="M23" i="6"/>
  <c r="P22" i="6"/>
  <c r="N22" i="6"/>
  <c r="M22" i="6"/>
  <c r="P21" i="6"/>
  <c r="N21" i="6"/>
  <c r="M21" i="6"/>
  <c r="P20" i="6"/>
  <c r="N20" i="6"/>
  <c r="M20" i="6"/>
  <c r="P19" i="6"/>
  <c r="N19" i="6"/>
  <c r="M19" i="6"/>
  <c r="P29" i="5"/>
  <c r="P35" i="5"/>
  <c r="P34" i="5"/>
  <c r="P36" i="5"/>
  <c r="P39" i="5"/>
  <c r="P40" i="5"/>
  <c r="P37" i="5"/>
  <c r="P38" i="5"/>
  <c r="P43" i="5"/>
  <c r="P41" i="5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2" i="8"/>
  <c r="P3" i="5"/>
  <c r="P4" i="5"/>
  <c r="P5" i="5"/>
  <c r="P6" i="5"/>
  <c r="P8" i="5"/>
  <c r="P9" i="5"/>
  <c r="P7" i="5"/>
  <c r="P10" i="5"/>
  <c r="P11" i="5"/>
  <c r="P12" i="5"/>
  <c r="P13" i="5"/>
  <c r="P14" i="5"/>
  <c r="P15" i="5"/>
  <c r="P16" i="5"/>
  <c r="P17" i="5"/>
  <c r="P18" i="5"/>
  <c r="P19" i="5"/>
  <c r="P20" i="5"/>
  <c r="P23" i="5"/>
  <c r="P21" i="5"/>
  <c r="P22" i="5"/>
  <c r="P24" i="5"/>
  <c r="P25" i="5"/>
  <c r="P26" i="5"/>
  <c r="P27" i="5"/>
  <c r="P30" i="5"/>
  <c r="P33" i="5"/>
  <c r="P28" i="5"/>
  <c r="P31" i="5"/>
  <c r="P32" i="5"/>
  <c r="P42" i="5"/>
  <c r="P44" i="5"/>
  <c r="P45" i="5"/>
  <c r="P46" i="5"/>
  <c r="P47" i="5"/>
  <c r="P48" i="5"/>
  <c r="P49" i="5"/>
  <c r="P52" i="5"/>
  <c r="P50" i="5"/>
  <c r="P53" i="5"/>
  <c r="P54" i="5"/>
  <c r="P51" i="5"/>
  <c r="P59" i="5"/>
  <c r="P55" i="5"/>
  <c r="P56" i="5"/>
  <c r="P57" i="5"/>
  <c r="P58" i="5"/>
  <c r="P60" i="5"/>
  <c r="P64" i="5"/>
  <c r="P61" i="5"/>
  <c r="P62" i="5"/>
  <c r="P67" i="5"/>
  <c r="P68" i="5"/>
  <c r="P65" i="5"/>
  <c r="P66" i="5"/>
  <c r="P63" i="5"/>
  <c r="P2" i="5"/>
  <c r="O13" i="6"/>
  <c r="N13" i="6"/>
  <c r="O12" i="6"/>
  <c r="N12" i="6"/>
  <c r="O11" i="6"/>
  <c r="N11" i="6"/>
  <c r="O10" i="6"/>
  <c r="N10" i="6"/>
  <c r="O9" i="6"/>
  <c r="N9" i="6"/>
  <c r="O8" i="6"/>
  <c r="N8" i="6"/>
  <c r="O7" i="6"/>
  <c r="N7" i="6"/>
  <c r="O6" i="6"/>
  <c r="N6" i="6"/>
  <c r="Q2" i="4"/>
  <c r="Q2" i="7"/>
  <c r="Q4" i="7"/>
  <c r="Q11" i="7"/>
  <c r="Q3" i="7"/>
  <c r="Q38" i="7"/>
  <c r="Q39" i="7"/>
  <c r="Q17" i="7"/>
  <c r="Q10" i="7"/>
  <c r="Q25" i="7"/>
  <c r="Q43" i="7"/>
  <c r="Q7" i="7"/>
  <c r="Q29" i="7"/>
  <c r="Q28" i="7"/>
  <c r="Q8" i="7"/>
  <c r="Q19" i="7"/>
  <c r="Q48" i="7"/>
  <c r="Q5" i="7"/>
  <c r="Q31" i="7"/>
  <c r="Q6" i="7"/>
  <c r="Q23" i="7"/>
  <c r="Q26" i="7"/>
  <c r="Q9" i="7"/>
  <c r="Q30" i="7"/>
  <c r="Q20" i="7"/>
  <c r="Q49" i="7"/>
  <c r="Q15" i="7"/>
  <c r="Q41" i="7"/>
  <c r="Q51" i="7"/>
  <c r="Q34" i="7"/>
  <c r="Q32" i="7"/>
  <c r="Q13" i="7"/>
  <c r="Q12" i="7"/>
  <c r="Q18" i="7"/>
  <c r="Q40" i="7"/>
  <c r="Q35" i="7"/>
  <c r="Q22" i="7"/>
  <c r="Q27" i="7"/>
  <c r="Q47" i="7"/>
  <c r="Q21" i="7"/>
  <c r="Q37" i="7"/>
  <c r="Q33" i="7"/>
  <c r="Q44" i="7"/>
  <c r="Q16" i="7"/>
  <c r="Q42" i="7"/>
  <c r="Q24" i="7"/>
  <c r="Q50" i="7"/>
  <c r="Q45" i="7"/>
  <c r="Q36" i="7"/>
  <c r="Q46" i="7"/>
  <c r="Q14" i="7"/>
  <c r="Q3" i="4"/>
  <c r="Q4" i="4"/>
  <c r="Q7" i="4"/>
  <c r="Q5" i="4"/>
  <c r="Q6" i="4"/>
  <c r="Q8" i="4"/>
  <c r="Q9" i="4"/>
  <c r="Q12" i="4"/>
  <c r="Q10" i="4"/>
  <c r="Q11" i="4"/>
  <c r="Q14" i="4"/>
  <c r="Q15" i="4"/>
  <c r="Q13" i="4"/>
  <c r="Q16" i="4"/>
  <c r="Q17" i="4"/>
  <c r="Q22" i="4"/>
  <c r="Q19" i="4"/>
  <c r="Q20" i="4"/>
  <c r="Q18" i="4"/>
  <c r="Q21" i="4"/>
  <c r="Q25" i="4"/>
  <c r="Q23" i="4"/>
  <c r="Q24" i="4"/>
  <c r="Q26" i="4"/>
  <c r="Q27" i="4"/>
  <c r="Q28" i="4"/>
  <c r="Q29" i="4"/>
  <c r="Q30" i="4"/>
  <c r="Q31" i="4"/>
  <c r="Q32" i="4"/>
  <c r="Q33" i="4"/>
  <c r="Q34" i="4"/>
  <c r="Q36" i="4"/>
  <c r="Q37" i="4"/>
  <c r="Q35" i="4"/>
  <c r="Q38" i="4"/>
  <c r="Q39" i="4"/>
  <c r="Q40" i="4"/>
  <c r="Q42" i="4"/>
  <c r="Q41" i="4"/>
  <c r="Q43" i="4"/>
  <c r="Q44" i="4"/>
  <c r="Q45" i="4"/>
  <c r="Q46" i="4"/>
  <c r="Q47" i="4"/>
  <c r="Q49" i="4"/>
  <c r="Q48" i="4"/>
  <c r="Q51" i="4"/>
  <c r="Q50" i="4"/>
  <c r="O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2" i="8"/>
  <c r="O2" i="8"/>
  <c r="O3" i="5"/>
  <c r="O7" i="5"/>
  <c r="O15" i="5"/>
  <c r="O23" i="5"/>
  <c r="O27" i="5"/>
  <c r="O29" i="5"/>
  <c r="O37" i="5"/>
  <c r="O45" i="5"/>
  <c r="O50" i="5"/>
  <c r="O56" i="5"/>
  <c r="O62" i="5"/>
  <c r="O2" i="5"/>
  <c r="N3" i="5"/>
  <c r="N4" i="5"/>
  <c r="N5" i="5"/>
  <c r="N6" i="5"/>
  <c r="N8" i="5"/>
  <c r="N9" i="5"/>
  <c r="N7" i="5"/>
  <c r="N10" i="5"/>
  <c r="N11" i="5"/>
  <c r="N12" i="5"/>
  <c r="N13" i="5"/>
  <c r="N14" i="5"/>
  <c r="N15" i="5"/>
  <c r="N16" i="5"/>
  <c r="N17" i="5"/>
  <c r="N18" i="5"/>
  <c r="N19" i="5"/>
  <c r="N20" i="5"/>
  <c r="N23" i="5"/>
  <c r="N21" i="5"/>
  <c r="N22" i="5"/>
  <c r="N24" i="5"/>
  <c r="N25" i="5"/>
  <c r="N26" i="5"/>
  <c r="N27" i="5"/>
  <c r="N30" i="5"/>
  <c r="N33" i="5"/>
  <c r="N28" i="5"/>
  <c r="N31" i="5"/>
  <c r="N32" i="5"/>
  <c r="N29" i="5"/>
  <c r="N35" i="5"/>
  <c r="N34" i="5"/>
  <c r="N36" i="5"/>
  <c r="N39" i="5"/>
  <c r="N40" i="5"/>
  <c r="N37" i="5"/>
  <c r="N38" i="5"/>
  <c r="N43" i="5"/>
  <c r="N41" i="5"/>
  <c r="N42" i="5"/>
  <c r="N44" i="5"/>
  <c r="N45" i="5"/>
  <c r="N46" i="5"/>
  <c r="N47" i="5"/>
  <c r="N48" i="5"/>
  <c r="N49" i="5"/>
  <c r="N52" i="5"/>
  <c r="N50" i="5"/>
  <c r="N53" i="5"/>
  <c r="N54" i="5"/>
  <c r="N51" i="5"/>
  <c r="N59" i="5"/>
  <c r="N55" i="5"/>
  <c r="N56" i="5"/>
  <c r="N57" i="5"/>
  <c r="N58" i="5"/>
  <c r="N60" i="5"/>
  <c r="N64" i="5"/>
  <c r="N61" i="5"/>
  <c r="N62" i="5"/>
  <c r="N67" i="5"/>
  <c r="N68" i="5"/>
  <c r="N65" i="5"/>
  <c r="N66" i="5"/>
  <c r="N63" i="5"/>
  <c r="N2" i="5"/>
  <c r="M3" i="5"/>
  <c r="M4" i="5"/>
  <c r="O4" i="5" s="1"/>
  <c r="M5" i="5"/>
  <c r="O5" i="5" s="1"/>
  <c r="M6" i="5"/>
  <c r="O6" i="5" s="1"/>
  <c r="M8" i="5"/>
  <c r="O8" i="5" s="1"/>
  <c r="M9" i="5"/>
  <c r="O9" i="5" s="1"/>
  <c r="M7" i="5"/>
  <c r="M10" i="5"/>
  <c r="O10" i="5" s="1"/>
  <c r="M11" i="5"/>
  <c r="O11" i="5" s="1"/>
  <c r="M12" i="5"/>
  <c r="O12" i="5" s="1"/>
  <c r="M13" i="5"/>
  <c r="O13" i="5" s="1"/>
  <c r="M14" i="5"/>
  <c r="O14" i="5" s="1"/>
  <c r="M15" i="5"/>
  <c r="M16" i="5"/>
  <c r="O16" i="5" s="1"/>
  <c r="M17" i="5"/>
  <c r="O17" i="5" s="1"/>
  <c r="M18" i="5"/>
  <c r="O18" i="5" s="1"/>
  <c r="M19" i="5"/>
  <c r="O19" i="5" s="1"/>
  <c r="M20" i="5"/>
  <c r="O20" i="5" s="1"/>
  <c r="M23" i="5"/>
  <c r="M21" i="5"/>
  <c r="O21" i="5" s="1"/>
  <c r="M22" i="5"/>
  <c r="O22" i="5" s="1"/>
  <c r="M24" i="5"/>
  <c r="O24" i="5" s="1"/>
  <c r="M25" i="5"/>
  <c r="O25" i="5" s="1"/>
  <c r="M26" i="5"/>
  <c r="O26" i="5" s="1"/>
  <c r="M27" i="5"/>
  <c r="M30" i="5"/>
  <c r="O30" i="5" s="1"/>
  <c r="M33" i="5"/>
  <c r="O33" i="5" s="1"/>
  <c r="M28" i="5"/>
  <c r="O28" i="5" s="1"/>
  <c r="M31" i="5"/>
  <c r="O31" i="5" s="1"/>
  <c r="M32" i="5"/>
  <c r="O32" i="5" s="1"/>
  <c r="M29" i="5"/>
  <c r="M35" i="5"/>
  <c r="O35" i="5" s="1"/>
  <c r="M34" i="5"/>
  <c r="O34" i="5" s="1"/>
  <c r="M36" i="5"/>
  <c r="O36" i="5" s="1"/>
  <c r="M39" i="5"/>
  <c r="O39" i="5" s="1"/>
  <c r="M40" i="5"/>
  <c r="O40" i="5" s="1"/>
  <c r="M37" i="5"/>
  <c r="M38" i="5"/>
  <c r="O38" i="5" s="1"/>
  <c r="M43" i="5"/>
  <c r="O43" i="5" s="1"/>
  <c r="M41" i="5"/>
  <c r="O41" i="5" s="1"/>
  <c r="M42" i="5"/>
  <c r="O42" i="5" s="1"/>
  <c r="M44" i="5"/>
  <c r="O44" i="5" s="1"/>
  <c r="M45" i="5"/>
  <c r="M46" i="5"/>
  <c r="O46" i="5" s="1"/>
  <c r="M47" i="5"/>
  <c r="O47" i="5" s="1"/>
  <c r="M48" i="5"/>
  <c r="O48" i="5" s="1"/>
  <c r="M49" i="5"/>
  <c r="O49" i="5" s="1"/>
  <c r="M52" i="5"/>
  <c r="O52" i="5" s="1"/>
  <c r="M50" i="5"/>
  <c r="M53" i="5"/>
  <c r="O53" i="5" s="1"/>
  <c r="M54" i="5"/>
  <c r="O54" i="5" s="1"/>
  <c r="M51" i="5"/>
  <c r="O51" i="5" s="1"/>
  <c r="M59" i="5"/>
  <c r="O59" i="5" s="1"/>
  <c r="M55" i="5"/>
  <c r="O55" i="5" s="1"/>
  <c r="M56" i="5"/>
  <c r="M57" i="5"/>
  <c r="O57" i="5" s="1"/>
  <c r="M58" i="5"/>
  <c r="O58" i="5" s="1"/>
  <c r="M60" i="5"/>
  <c r="O60" i="5" s="1"/>
  <c r="M64" i="5"/>
  <c r="O64" i="5" s="1"/>
  <c r="M61" i="5"/>
  <c r="O61" i="5" s="1"/>
  <c r="M62" i="5"/>
  <c r="M67" i="5"/>
  <c r="O67" i="5" s="1"/>
  <c r="M68" i="5"/>
  <c r="O68" i="5" s="1"/>
  <c r="M65" i="5"/>
  <c r="O65" i="5" s="1"/>
  <c r="M66" i="5"/>
  <c r="O66" i="5" s="1"/>
  <c r="M63" i="5"/>
  <c r="O63" i="5" s="1"/>
  <c r="M2" i="5"/>
  <c r="P3" i="7"/>
  <c r="P43" i="7"/>
  <c r="P48" i="7"/>
  <c r="P9" i="7"/>
  <c r="P51" i="7"/>
  <c r="P40" i="7"/>
  <c r="P37" i="7"/>
  <c r="P50" i="7"/>
  <c r="O2" i="7"/>
  <c r="O4" i="7"/>
  <c r="O11" i="7"/>
  <c r="O3" i="7"/>
  <c r="O38" i="7"/>
  <c r="O39" i="7"/>
  <c r="O17" i="7"/>
  <c r="O10" i="7"/>
  <c r="O25" i="7"/>
  <c r="O43" i="7"/>
  <c r="O7" i="7"/>
  <c r="O29" i="7"/>
  <c r="O28" i="7"/>
  <c r="O8" i="7"/>
  <c r="O19" i="7"/>
  <c r="O48" i="7"/>
  <c r="O5" i="7"/>
  <c r="O31" i="7"/>
  <c r="O6" i="7"/>
  <c r="O23" i="7"/>
  <c r="O26" i="7"/>
  <c r="O9" i="7"/>
  <c r="O30" i="7"/>
  <c r="O20" i="7"/>
  <c r="O49" i="7"/>
  <c r="O15" i="7"/>
  <c r="O41" i="7"/>
  <c r="O51" i="7"/>
  <c r="O34" i="7"/>
  <c r="O32" i="7"/>
  <c r="O13" i="7"/>
  <c r="O12" i="7"/>
  <c r="O18" i="7"/>
  <c r="O40" i="7"/>
  <c r="O35" i="7"/>
  <c r="O22" i="7"/>
  <c r="O27" i="7"/>
  <c r="O47" i="7"/>
  <c r="O21" i="7"/>
  <c r="O37" i="7"/>
  <c r="O33" i="7"/>
  <c r="O44" i="7"/>
  <c r="O16" i="7"/>
  <c r="O42" i="7"/>
  <c r="O24" i="7"/>
  <c r="O50" i="7"/>
  <c r="O45" i="7"/>
  <c r="O36" i="7"/>
  <c r="O46" i="7"/>
  <c r="O14" i="7"/>
  <c r="O2" i="4"/>
  <c r="N2" i="7"/>
  <c r="P2" i="7" s="1"/>
  <c r="N4" i="7"/>
  <c r="P4" i="7" s="1"/>
  <c r="N11" i="7"/>
  <c r="P11" i="7" s="1"/>
  <c r="N3" i="7"/>
  <c r="N38" i="7"/>
  <c r="P38" i="7" s="1"/>
  <c r="N39" i="7"/>
  <c r="P39" i="7" s="1"/>
  <c r="N17" i="7"/>
  <c r="P17" i="7" s="1"/>
  <c r="N10" i="7"/>
  <c r="P10" i="7" s="1"/>
  <c r="N25" i="7"/>
  <c r="P25" i="7" s="1"/>
  <c r="N43" i="7"/>
  <c r="N7" i="7"/>
  <c r="P7" i="7" s="1"/>
  <c r="N29" i="7"/>
  <c r="P29" i="7" s="1"/>
  <c r="N28" i="7"/>
  <c r="P28" i="7" s="1"/>
  <c r="N8" i="7"/>
  <c r="P8" i="7" s="1"/>
  <c r="N19" i="7"/>
  <c r="P19" i="7" s="1"/>
  <c r="N48" i="7"/>
  <c r="N5" i="7"/>
  <c r="P5" i="7" s="1"/>
  <c r="N31" i="7"/>
  <c r="P31" i="7" s="1"/>
  <c r="N6" i="7"/>
  <c r="P6" i="7" s="1"/>
  <c r="N23" i="7"/>
  <c r="P23" i="7" s="1"/>
  <c r="N26" i="7"/>
  <c r="P26" i="7" s="1"/>
  <c r="N9" i="7"/>
  <c r="N30" i="7"/>
  <c r="P30" i="7" s="1"/>
  <c r="N20" i="7"/>
  <c r="P20" i="7" s="1"/>
  <c r="N49" i="7"/>
  <c r="P49" i="7" s="1"/>
  <c r="N15" i="7"/>
  <c r="P15" i="7" s="1"/>
  <c r="N41" i="7"/>
  <c r="P41" i="7" s="1"/>
  <c r="N51" i="7"/>
  <c r="N34" i="7"/>
  <c r="P34" i="7" s="1"/>
  <c r="N32" i="7"/>
  <c r="P32" i="7" s="1"/>
  <c r="N13" i="7"/>
  <c r="P13" i="7" s="1"/>
  <c r="N12" i="7"/>
  <c r="P12" i="7" s="1"/>
  <c r="N18" i="7"/>
  <c r="P18" i="7" s="1"/>
  <c r="N40" i="7"/>
  <c r="N35" i="7"/>
  <c r="P35" i="7" s="1"/>
  <c r="N22" i="7"/>
  <c r="P22" i="7" s="1"/>
  <c r="N27" i="7"/>
  <c r="P27" i="7" s="1"/>
  <c r="N47" i="7"/>
  <c r="P47" i="7" s="1"/>
  <c r="N21" i="7"/>
  <c r="P21" i="7" s="1"/>
  <c r="N37" i="7"/>
  <c r="N33" i="7"/>
  <c r="P33" i="7" s="1"/>
  <c r="N44" i="7"/>
  <c r="P44" i="7" s="1"/>
  <c r="N16" i="7"/>
  <c r="P16" i="7" s="1"/>
  <c r="N42" i="7"/>
  <c r="P42" i="7" s="1"/>
  <c r="N24" i="7"/>
  <c r="P24" i="7" s="1"/>
  <c r="N50" i="7"/>
  <c r="N45" i="7"/>
  <c r="P45" i="7" s="1"/>
  <c r="N36" i="7"/>
  <c r="P36" i="7" s="1"/>
  <c r="N46" i="7"/>
  <c r="P46" i="7" s="1"/>
  <c r="N14" i="7"/>
  <c r="P14" i="7" s="1"/>
  <c r="N2" i="4"/>
  <c r="P2" i="4" s="1"/>
  <c r="P8" i="4"/>
  <c r="P15" i="4"/>
  <c r="P20" i="4"/>
  <c r="P26" i="4"/>
  <c r="P32" i="4"/>
  <c r="P38" i="4"/>
  <c r="P44" i="4"/>
  <c r="P51" i="4"/>
  <c r="O3" i="4"/>
  <c r="O4" i="4"/>
  <c r="O7" i="4"/>
  <c r="O5" i="4"/>
  <c r="O6" i="4"/>
  <c r="P6" i="4" s="1"/>
  <c r="O8" i="4"/>
  <c r="O9" i="4"/>
  <c r="O12" i="4"/>
  <c r="O10" i="4"/>
  <c r="O11" i="4"/>
  <c r="O14" i="4"/>
  <c r="P14" i="4" s="1"/>
  <c r="O15" i="4"/>
  <c r="O13" i="4"/>
  <c r="O16" i="4"/>
  <c r="O17" i="4"/>
  <c r="O22" i="4"/>
  <c r="O19" i="4"/>
  <c r="P19" i="4" s="1"/>
  <c r="O20" i="4"/>
  <c r="O18" i="4"/>
  <c r="O21" i="4"/>
  <c r="O25" i="4"/>
  <c r="O23" i="4"/>
  <c r="O24" i="4"/>
  <c r="P24" i="4" s="1"/>
  <c r="O26" i="4"/>
  <c r="O27" i="4"/>
  <c r="O28" i="4"/>
  <c r="O29" i="4"/>
  <c r="O30" i="4"/>
  <c r="O31" i="4"/>
  <c r="P31" i="4" s="1"/>
  <c r="O32" i="4"/>
  <c r="O33" i="4"/>
  <c r="O34" i="4"/>
  <c r="O36" i="4"/>
  <c r="O37" i="4"/>
  <c r="O35" i="4"/>
  <c r="P35" i="4" s="1"/>
  <c r="O38" i="4"/>
  <c r="O39" i="4"/>
  <c r="O40" i="4"/>
  <c r="O42" i="4"/>
  <c r="O41" i="4"/>
  <c r="O43" i="4"/>
  <c r="P43" i="4" s="1"/>
  <c r="O44" i="4"/>
  <c r="O45" i="4"/>
  <c r="O46" i="4"/>
  <c r="O47" i="4"/>
  <c r="O49" i="4"/>
  <c r="O48" i="4"/>
  <c r="P48" i="4" s="1"/>
  <c r="O51" i="4"/>
  <c r="O50" i="4"/>
  <c r="N3" i="4"/>
  <c r="P3" i="4" s="1"/>
  <c r="N4" i="4"/>
  <c r="P4" i="4" s="1"/>
  <c r="N7" i="4"/>
  <c r="P7" i="4" s="1"/>
  <c r="N5" i="4"/>
  <c r="P5" i="4" s="1"/>
  <c r="N6" i="4"/>
  <c r="N8" i="4"/>
  <c r="N9" i="4"/>
  <c r="P9" i="4" s="1"/>
  <c r="N12" i="4"/>
  <c r="P12" i="4" s="1"/>
  <c r="N10" i="4"/>
  <c r="P10" i="4" s="1"/>
  <c r="N11" i="4"/>
  <c r="P11" i="4" s="1"/>
  <c r="N14" i="4"/>
  <c r="N15" i="4"/>
  <c r="N13" i="4"/>
  <c r="P13" i="4" s="1"/>
  <c r="N16" i="4"/>
  <c r="P16" i="4" s="1"/>
  <c r="N17" i="4"/>
  <c r="P17" i="4" s="1"/>
  <c r="N22" i="4"/>
  <c r="P22" i="4" s="1"/>
  <c r="N19" i="4"/>
  <c r="N20" i="4"/>
  <c r="N18" i="4"/>
  <c r="P18" i="4" s="1"/>
  <c r="N21" i="4"/>
  <c r="P21" i="4" s="1"/>
  <c r="N25" i="4"/>
  <c r="P25" i="4" s="1"/>
  <c r="N23" i="4"/>
  <c r="P23" i="4" s="1"/>
  <c r="N24" i="4"/>
  <c r="N26" i="4"/>
  <c r="N27" i="4"/>
  <c r="P27" i="4" s="1"/>
  <c r="N28" i="4"/>
  <c r="P28" i="4" s="1"/>
  <c r="N29" i="4"/>
  <c r="P29" i="4" s="1"/>
  <c r="N30" i="4"/>
  <c r="P30" i="4" s="1"/>
  <c r="N31" i="4"/>
  <c r="N32" i="4"/>
  <c r="N33" i="4"/>
  <c r="P33" i="4" s="1"/>
  <c r="N34" i="4"/>
  <c r="P34" i="4" s="1"/>
  <c r="N36" i="4"/>
  <c r="P36" i="4" s="1"/>
  <c r="N37" i="4"/>
  <c r="P37" i="4" s="1"/>
  <c r="N35" i="4"/>
  <c r="N38" i="4"/>
  <c r="N39" i="4"/>
  <c r="P39" i="4" s="1"/>
  <c r="N40" i="4"/>
  <c r="P40" i="4" s="1"/>
  <c r="N42" i="4"/>
  <c r="P42" i="4" s="1"/>
  <c r="N41" i="4"/>
  <c r="P41" i="4" s="1"/>
  <c r="N43" i="4"/>
  <c r="N44" i="4"/>
  <c r="N45" i="4"/>
  <c r="P45" i="4" s="1"/>
  <c r="N46" i="4"/>
  <c r="P46" i="4" s="1"/>
  <c r="N47" i="4"/>
  <c r="P47" i="4" s="1"/>
  <c r="N49" i="4"/>
  <c r="P49" i="4" s="1"/>
  <c r="N48" i="4"/>
  <c r="N51" i="4"/>
  <c r="N50" i="4"/>
  <c r="P50" i="4" s="1"/>
  <c r="U10" i="14" l="1"/>
  <c r="U58" i="14"/>
  <c r="U73" i="14"/>
  <c r="U25" i="14"/>
  <c r="P28" i="11"/>
  <c r="P32" i="11"/>
  <c r="U10" i="10"/>
  <c r="Q10" i="10"/>
  <c r="Q12" i="10"/>
  <c r="Q16" i="10"/>
  <c r="Q18" i="10"/>
  <c r="Q23" i="10"/>
  <c r="U23" i="10" s="1"/>
  <c r="Q27" i="10"/>
  <c r="U24" i="10" s="1"/>
  <c r="Q29" i="10"/>
  <c r="Q11" i="10"/>
  <c r="Q17" i="10"/>
  <c r="Q22" i="10"/>
  <c r="U22" i="10" s="1"/>
  <c r="Q28" i="10"/>
  <c r="Q32" i="10"/>
  <c r="P27" i="11"/>
  <c r="P8" i="11"/>
  <c r="S8" i="11" s="1"/>
  <c r="P14" i="11"/>
  <c r="P31" i="11"/>
  <c r="P24" i="11"/>
  <c r="P25" i="11"/>
  <c r="P23" i="11"/>
  <c r="S23" i="11" s="1"/>
  <c r="P12" i="11"/>
  <c r="P18" i="11"/>
  <c r="P22" i="11"/>
  <c r="S22" i="11" s="1"/>
  <c r="P29" i="11"/>
  <c r="P9" i="11"/>
  <c r="S9" i="11" s="1"/>
  <c r="P15" i="11"/>
  <c r="P10" i="11"/>
  <c r="P16" i="11"/>
  <c r="P11" i="11"/>
  <c r="P17" i="11"/>
  <c r="P7" i="9"/>
  <c r="P9" i="9"/>
  <c r="U9" i="9" s="1"/>
  <c r="P11" i="9"/>
  <c r="O18" i="9"/>
  <c r="O20" i="9"/>
  <c r="O22" i="9"/>
  <c r="P6" i="9"/>
  <c r="U6" i="9" s="1"/>
  <c r="P8" i="9"/>
  <c r="U8" i="9" s="1"/>
  <c r="P10" i="9"/>
  <c r="O20" i="6"/>
  <c r="T6" i="6" s="1"/>
  <c r="O22" i="6"/>
  <c r="O24" i="6"/>
  <c r="O26" i="6"/>
  <c r="O28" i="6"/>
  <c r="O19" i="6"/>
  <c r="O21" i="6"/>
  <c r="O23" i="6"/>
  <c r="O25" i="6"/>
  <c r="O27" i="6"/>
  <c r="O29" i="6"/>
  <c r="P6" i="6"/>
  <c r="P8" i="6"/>
  <c r="P10" i="6"/>
  <c r="T10" i="6" s="1"/>
  <c r="P12" i="6"/>
  <c r="P7" i="6"/>
  <c r="P9" i="6"/>
  <c r="P11" i="6"/>
  <c r="P13" i="6"/>
  <c r="U10" i="9" l="1"/>
  <c r="U11" i="9"/>
  <c r="U7" i="9"/>
  <c r="T11" i="6"/>
  <c r="T13" i="6"/>
  <c r="T8" i="6"/>
  <c r="T9" i="6"/>
  <c r="T7" i="6"/>
  <c r="T12" i="6"/>
  <c r="S24" i="11"/>
  <c r="S10" i="11"/>
</calcChain>
</file>

<file path=xl/sharedStrings.xml><?xml version="1.0" encoding="utf-8"?>
<sst xmlns="http://schemas.openxmlformats.org/spreadsheetml/2006/main" count="1813" uniqueCount="337">
  <si>
    <t>Team Compositions ?</t>
  </si>
  <si>
    <t>More bowlers</t>
  </si>
  <si>
    <t>More batsmen</t>
  </si>
  <si>
    <t>More Allrounders</t>
  </si>
  <si>
    <t>Strategies to select Captain and Vice captain</t>
  </si>
  <si>
    <t>All Batsmen</t>
  </si>
  <si>
    <t>All Bowlers</t>
  </si>
  <si>
    <t>Batsmen&gt;Bowlers= All Rounders</t>
  </si>
  <si>
    <t>Only Batsmen and All Rounders</t>
  </si>
  <si>
    <t>Batting Points</t>
  </si>
  <si>
    <t>Bowling Points</t>
  </si>
  <si>
    <t>Other Points</t>
  </si>
  <si>
    <t xml:space="preserve">Run </t>
  </si>
  <si>
    <t>Boundary</t>
  </si>
  <si>
    <t>Six</t>
  </si>
  <si>
    <t>Half Century</t>
  </si>
  <si>
    <t>Century</t>
  </si>
  <si>
    <t>Wicket</t>
  </si>
  <si>
    <t>4 Wicket</t>
  </si>
  <si>
    <t>maiden</t>
  </si>
  <si>
    <t xml:space="preserve">Captain </t>
  </si>
  <si>
    <t>Vice Captain</t>
  </si>
  <si>
    <t>Strike Rate</t>
  </si>
  <si>
    <t>Economy Rate</t>
  </si>
  <si>
    <t>Between 4-4.99 RPO</t>
  </si>
  <si>
    <t>Below 4 RPO</t>
  </si>
  <si>
    <t>Between 5-6 RPO</t>
  </si>
  <si>
    <t>2X</t>
  </si>
  <si>
    <t>1.5X</t>
  </si>
  <si>
    <t>Between 60-70 RP100B</t>
  </si>
  <si>
    <t>Between 50-59.99 RP100B</t>
  </si>
  <si>
    <t>Below 50 RP100B</t>
  </si>
  <si>
    <t>Between 9-10 RPO</t>
  </si>
  <si>
    <t>Between 10-11 RPO</t>
  </si>
  <si>
    <t>Above 11 RPO</t>
  </si>
  <si>
    <t>Player</t>
  </si>
  <si>
    <t>Team(s)</t>
  </si>
  <si>
    <t>Matches</t>
  </si>
  <si>
    <t>Inns</t>
  </si>
  <si>
    <t>NO</t>
  </si>
  <si>
    <t>Runs</t>
  </si>
  <si>
    <t>HS</t>
  </si>
  <si>
    <t>100s</t>
  </si>
  <si>
    <t>50s</t>
  </si>
  <si>
    <t>Avg</t>
  </si>
  <si>
    <t>S/R</t>
  </si>
  <si>
    <t>4s</t>
  </si>
  <si>
    <t>6s</t>
  </si>
  <si>
    <t>K L Rahul</t>
  </si>
  <si>
    <t>Punjab</t>
  </si>
  <si>
    <t>132*</t>
  </si>
  <si>
    <t>S Dhawan</t>
  </si>
  <si>
    <t>Delhi</t>
  </si>
  <si>
    <t>106*</t>
  </si>
  <si>
    <t>D A Warner</t>
  </si>
  <si>
    <t>Hyderabad</t>
  </si>
  <si>
    <t>S S Iyer</t>
  </si>
  <si>
    <t>Ishan Kishan</t>
  </si>
  <si>
    <t>Mumbai</t>
  </si>
  <si>
    <t>Q de Kock</t>
  </si>
  <si>
    <t>S A Yadav</t>
  </si>
  <si>
    <t>D Padikkal</t>
  </si>
  <si>
    <t>Bangalore</t>
  </si>
  <si>
    <t>V Kohli</t>
  </si>
  <si>
    <t>A B de Villiers</t>
  </si>
  <si>
    <t>F du Plessis</t>
  </si>
  <si>
    <t>Chennai</t>
  </si>
  <si>
    <t>Shubman Gill</t>
  </si>
  <si>
    <t>Kolkata</t>
  </si>
  <si>
    <t>M K Pandey</t>
  </si>
  <si>
    <t>M A Agarwal</t>
  </si>
  <si>
    <t>E J G Morgan</t>
  </si>
  <si>
    <t>68*</t>
  </si>
  <si>
    <t>S V Samson</t>
  </si>
  <si>
    <t>Rajasthan</t>
  </si>
  <si>
    <t>A T Rayudu</t>
  </si>
  <si>
    <t>N Pooran</t>
  </si>
  <si>
    <t>M P Stoinis</t>
  </si>
  <si>
    <t>N Rana</t>
  </si>
  <si>
    <t>J M Bairstow</t>
  </si>
  <si>
    <t>R R Pant</t>
  </si>
  <si>
    <t>R G Sharma</t>
  </si>
  <si>
    <t>J C Buttler</t>
  </si>
  <si>
    <t>K S Williamson</t>
  </si>
  <si>
    <t>S P D Smith</t>
  </si>
  <si>
    <t>S R Watson</t>
  </si>
  <si>
    <t>C H Gayle</t>
  </si>
  <si>
    <t>B A Stokes</t>
  </si>
  <si>
    <t>107*</t>
  </si>
  <si>
    <t>H H Pandya</t>
  </si>
  <si>
    <t>K A Pollard</t>
  </si>
  <si>
    <t>A J Finch</t>
  </si>
  <si>
    <t>R Tewatia</t>
  </si>
  <si>
    <t>R A Jadeja</t>
  </si>
  <si>
    <t>R A Tripathi</t>
  </si>
  <si>
    <t>P P Shaw</t>
  </si>
  <si>
    <t>W P Saha</t>
  </si>
  <si>
    <t>R D Gaikwad</t>
  </si>
  <si>
    <t>M S Dhoni</t>
  </si>
  <si>
    <t>R V Uthappa</t>
  </si>
  <si>
    <t>S M Curran</t>
  </si>
  <si>
    <t>S O Hetmeyer</t>
  </si>
  <si>
    <t>K D Karthik</t>
  </si>
  <si>
    <t>P J Cummins</t>
  </si>
  <si>
    <t>P K Garg</t>
  </si>
  <si>
    <t>51*</t>
  </si>
  <si>
    <t>Mandeep Singh</t>
  </si>
  <si>
    <t>S Dube</t>
  </si>
  <si>
    <t>S P Narine</t>
  </si>
  <si>
    <t>A R Patel</t>
  </si>
  <si>
    <t>A D Russell</t>
  </si>
  <si>
    <t>POINTS</t>
  </si>
  <si>
    <t>TOTAL</t>
  </si>
  <si>
    <t xml:space="preserve">ALL ROUNDERS </t>
  </si>
  <si>
    <t>Mat</t>
  </si>
  <si>
    <t>Overs</t>
  </si>
  <si>
    <t>Mdns</t>
  </si>
  <si>
    <t>Wkts</t>
  </si>
  <si>
    <t>Best</t>
  </si>
  <si>
    <t>E/R</t>
  </si>
  <si>
    <t>4w</t>
  </si>
  <si>
    <t>K Rabada</t>
  </si>
  <si>
    <t>DDV, KXI</t>
  </si>
  <si>
    <t>J J Bumrah</t>
  </si>
  <si>
    <t>MIN</t>
  </si>
  <si>
    <t>T A Boult</t>
  </si>
  <si>
    <t>SUN, KKR, DDV, MIN, RRO</t>
  </si>
  <si>
    <t>A Nortje</t>
  </si>
  <si>
    <t>DDV</t>
  </si>
  <si>
    <t>Y S Chahal</t>
  </si>
  <si>
    <t>MIN, RCB, RRO</t>
  </si>
  <si>
    <t>Mohammed Shami</t>
  </si>
  <si>
    <t>KKR, DDV, KXI, GTI</t>
  </si>
  <si>
    <t>J C Archer</t>
  </si>
  <si>
    <t>RRO, MIN</t>
  </si>
  <si>
    <t>Rashid Khan</t>
  </si>
  <si>
    <t>SUN, GTI</t>
  </si>
  <si>
    <t>C V Varun</t>
  </si>
  <si>
    <t>KXI, KKR</t>
  </si>
  <si>
    <t>T Natarajan</t>
  </si>
  <si>
    <t>KXI, SUN</t>
  </si>
  <si>
    <t>R D Chahar</t>
  </si>
  <si>
    <t>RPS, MIN, KXI</t>
  </si>
  <si>
    <t>J O Holder</t>
  </si>
  <si>
    <t>CSK, SUN, KKR, LSG</t>
  </si>
  <si>
    <t>Sandeep Sharma</t>
  </si>
  <si>
    <t>R Ashwin</t>
  </si>
  <si>
    <t>CSK, RPS, KXI, DDV, RRO</t>
  </si>
  <si>
    <t>KXI, CSK</t>
  </si>
  <si>
    <t>KXI, RCB, DDV, LSG</t>
  </si>
  <si>
    <t>D L Chahar</t>
  </si>
  <si>
    <t>RPS, CSK</t>
  </si>
  <si>
    <t>KKR, DDV</t>
  </si>
  <si>
    <t>Ravi Bishnoi</t>
  </si>
  <si>
    <t>KXI, LSG</t>
  </si>
  <si>
    <t>J L Pattinson</t>
  </si>
  <si>
    <t>C H Morris</t>
  </si>
  <si>
    <t>CSK, RRO, DDV, RCB</t>
  </si>
  <si>
    <t>Mohammed Siraj</t>
  </si>
  <si>
    <t>SUN, RCB</t>
  </si>
  <si>
    <t>M Ashwin</t>
  </si>
  <si>
    <t>RPS, RCB, KXI, MIN</t>
  </si>
  <si>
    <t>S N Thakur</t>
  </si>
  <si>
    <t>KXI, RPS, CSK, DDV</t>
  </si>
  <si>
    <t>S Gopal</t>
  </si>
  <si>
    <t>MIN, RRO, SUN</t>
  </si>
  <si>
    <t>RRO, KXI, DDV, GTI</t>
  </si>
  <si>
    <t>KXI, DDV</t>
  </si>
  <si>
    <t>L Ngidi</t>
  </si>
  <si>
    <t>CSK, DDV</t>
  </si>
  <si>
    <t>Shivam Mavi</t>
  </si>
  <si>
    <t>KKR</t>
  </si>
  <si>
    <t>C J Jordan</t>
  </si>
  <si>
    <t>RCB, SUN, KXI, CSK</t>
  </si>
  <si>
    <t>Kartik Tyagi</t>
  </si>
  <si>
    <t>RRO, SUN</t>
  </si>
  <si>
    <t>Arshdeep Singh</t>
  </si>
  <si>
    <t>KXI</t>
  </si>
  <si>
    <t>I Udana</t>
  </si>
  <si>
    <t>RCB</t>
  </si>
  <si>
    <t>Washington Sundar</t>
  </si>
  <si>
    <t>RPS, RCB, SUN</t>
  </si>
  <si>
    <t>K K Ahmed</t>
  </si>
  <si>
    <t>SUN, DDV</t>
  </si>
  <si>
    <t>K H Pandya</t>
  </si>
  <si>
    <t>MIN, LSG</t>
  </si>
  <si>
    <t>L H Ferguson</t>
  </si>
  <si>
    <t>RPS, KKR, GTI</t>
  </si>
  <si>
    <t>N A Saini</t>
  </si>
  <si>
    <t>RCB, RRO</t>
  </si>
  <si>
    <t>S S Cottrell</t>
  </si>
  <si>
    <t>DDV, KKR</t>
  </si>
  <si>
    <t>RRO, KTK, CSK, GUJ</t>
  </si>
  <si>
    <t>D J J Bravo</t>
  </si>
  <si>
    <t>MIN, CSK, GUJ</t>
  </si>
  <si>
    <t>P P Chawla</t>
  </si>
  <si>
    <t>KXI, KKR, CSK, MIN</t>
  </si>
  <si>
    <t>S Nadeem</t>
  </si>
  <si>
    <t>DDV, SUN, LSG</t>
  </si>
  <si>
    <t>K V Sharma</t>
  </si>
  <si>
    <t>RCB, SUN, MIN, CSK</t>
  </si>
  <si>
    <t>N M Coulter-Nile</t>
  </si>
  <si>
    <t>MIN, DDV, KKR, RRO</t>
  </si>
  <si>
    <t>K L Nagarkoti</t>
  </si>
  <si>
    <t>M Prasidh Krishna</t>
  </si>
  <si>
    <t>KKR, RRO</t>
  </si>
  <si>
    <t>V Shankar</t>
  </si>
  <si>
    <t>CSK, SUN, DDV, GTI</t>
  </si>
  <si>
    <t>J D Unadkat</t>
  </si>
  <si>
    <t>KKR, RCB, DDV, RPS, RRO, MIN</t>
  </si>
  <si>
    <t>RCB, RRO, CSK</t>
  </si>
  <si>
    <t>T U Deshpande</t>
  </si>
  <si>
    <t>DDV, CSK</t>
  </si>
  <si>
    <t>A Mishra</t>
  </si>
  <si>
    <t>DDV, DCH, SUN</t>
  </si>
  <si>
    <t>G J Maxwell</t>
  </si>
  <si>
    <t>DDV, MIN, KXI, RCB</t>
  </si>
  <si>
    <t>B Kumar</t>
  </si>
  <si>
    <t>PWI, SUN</t>
  </si>
  <si>
    <t>H V Patel</t>
  </si>
  <si>
    <t>RCB, DDV</t>
  </si>
  <si>
    <t>T K Curran</t>
  </si>
  <si>
    <t>KKR, RRO, DDV</t>
  </si>
  <si>
    <t>Abhishek Sharma</t>
  </si>
  <si>
    <t>DDV, SUN</t>
  </si>
  <si>
    <t>A Zampa</t>
  </si>
  <si>
    <t>RPS, RCB</t>
  </si>
  <si>
    <t>M J Santner</t>
  </si>
  <si>
    <t>CSK</t>
  </si>
  <si>
    <t>A S Rajpoot</t>
  </si>
  <si>
    <t>CSK, KKR, KXI, RRO, LSG</t>
  </si>
  <si>
    <t>S Kaul</t>
  </si>
  <si>
    <t>DDV, SUN, RCB</t>
  </si>
  <si>
    <t>J D S Neesham</t>
  </si>
  <si>
    <t>DDV, KXI, MIN, RRO</t>
  </si>
  <si>
    <t>RPS, RRO</t>
  </si>
  <si>
    <t>Shahbaz Ahmed</t>
  </si>
  <si>
    <t>POINTS on Economy</t>
  </si>
  <si>
    <t>Points</t>
  </si>
  <si>
    <t>Points on S/R</t>
  </si>
  <si>
    <t>84*</t>
  </si>
  <si>
    <t>S N Khan</t>
  </si>
  <si>
    <t>A M Rahane</t>
  </si>
  <si>
    <t>105*</t>
  </si>
  <si>
    <t>Gurkeerat Singh</t>
  </si>
  <si>
    <t>R Parag</t>
  </si>
  <si>
    <t>M Vijay</t>
  </si>
  <si>
    <t>97*</t>
  </si>
  <si>
    <t>C A Lynn</t>
  </si>
  <si>
    <t>M M Ali</t>
  </si>
  <si>
    <t>P A Patel</t>
  </si>
  <si>
    <t>Yuvraj Singh</t>
  </si>
  <si>
    <t>S K Raina</t>
  </si>
  <si>
    <t>D A Miller</t>
  </si>
  <si>
    <t>C Munro</t>
  </si>
  <si>
    <t>Mohammad Nabi</t>
  </si>
  <si>
    <t>Imran Tahir</t>
  </si>
  <si>
    <t>DDV, RPS, CSK</t>
  </si>
  <si>
    <t>Harbhajan Singh</t>
  </si>
  <si>
    <t>MIN, CSK, KKR</t>
  </si>
  <si>
    <t>S L Malinga</t>
  </si>
  <si>
    <t>MIN, GTI</t>
  </si>
  <si>
    <t>I Sharma</t>
  </si>
  <si>
    <t>KKR, DCH, SUN, RPS, KXI, DDV</t>
  </si>
  <si>
    <t>K M A Paul</t>
  </si>
  <si>
    <t>SUN, KKR</t>
  </si>
  <si>
    <t>U T Yadav</t>
  </si>
  <si>
    <t>DDV, KKR, RCB</t>
  </si>
  <si>
    <t>S Lamichhane</t>
  </si>
  <si>
    <t>G C Viljoen</t>
  </si>
  <si>
    <t>H F Gurney</t>
  </si>
  <si>
    <t>A S Joseph</t>
  </si>
  <si>
    <t>RCB, CSK</t>
  </si>
  <si>
    <t>D S Kulkarni</t>
  </si>
  <si>
    <t>MIN, RRO, GUJ</t>
  </si>
  <si>
    <t>J P Behrendorff</t>
  </si>
  <si>
    <t>MIN, RCB</t>
  </si>
  <si>
    <t>O R Thomas</t>
  </si>
  <si>
    <t>RRO</t>
  </si>
  <si>
    <t>Kuldeep Yadav</t>
  </si>
  <si>
    <t>I S Sodhi</t>
  </si>
  <si>
    <t>V R Aaron</t>
  </si>
  <si>
    <t>DDV, RCB, KXI, RRO, GTI</t>
  </si>
  <si>
    <t>D W Steyn</t>
  </si>
  <si>
    <t>RCB, DCH, SUN, GUJ</t>
  </si>
  <si>
    <t>M J McClenaghan</t>
  </si>
  <si>
    <t>P Negi</t>
  </si>
  <si>
    <t>DDV, CSK, RCB</t>
  </si>
  <si>
    <t>A J Tye</t>
  </si>
  <si>
    <t>GUJ, KXI, RRO, LSG</t>
  </si>
  <si>
    <t>MIN, KKR</t>
  </si>
  <si>
    <t>Mujeeb Ur Rahman</t>
  </si>
  <si>
    <t>Points on Economy</t>
  </si>
  <si>
    <t>Total Points</t>
  </si>
  <si>
    <t>TOTAL POINTS</t>
  </si>
  <si>
    <t>ALL BATSMEN</t>
  </si>
  <si>
    <t>ALL BOWLERS</t>
  </si>
  <si>
    <t>C</t>
  </si>
  <si>
    <t>VC</t>
  </si>
  <si>
    <t>2020 ALL ROUNDERS</t>
  </si>
  <si>
    <t>2019 ALL ROUNDERS</t>
  </si>
  <si>
    <t>COMBINED ALL ROUNDERS</t>
  </si>
  <si>
    <t>Combined</t>
  </si>
  <si>
    <t>Average</t>
  </si>
  <si>
    <t>Difference</t>
  </si>
  <si>
    <t xml:space="preserve">Rate </t>
  </si>
  <si>
    <t>HYPOTHESIS 1</t>
  </si>
  <si>
    <t>What if we consider all 11 players as Batsmen</t>
  </si>
  <si>
    <t>All Rounder</t>
  </si>
  <si>
    <t>No.</t>
  </si>
  <si>
    <t xml:space="preserve">Position </t>
  </si>
  <si>
    <t xml:space="preserve">Points </t>
  </si>
  <si>
    <t>ANSWER :</t>
  </si>
  <si>
    <t>High Point scorer combinations based on Top Batsmen</t>
  </si>
  <si>
    <t>5-3-3 combination</t>
  </si>
  <si>
    <t>7-2-2 combination</t>
  </si>
  <si>
    <t>8-3 combination</t>
  </si>
  <si>
    <t>Batsmen</t>
  </si>
  <si>
    <t>Bowler</t>
  </si>
  <si>
    <t>HYPOTHESIS 2</t>
  </si>
  <si>
    <t>What if we consider all 11 players as Bowlers</t>
  </si>
  <si>
    <t xml:space="preserve">TOTAL </t>
  </si>
  <si>
    <t xml:space="preserve">HYPOTHESIS </t>
  </si>
  <si>
    <t>5-3-3</t>
  </si>
  <si>
    <t>Combination</t>
  </si>
  <si>
    <t>7-2-2</t>
  </si>
  <si>
    <t>8-3</t>
  </si>
  <si>
    <t>Batsmen &gt; Bowlers = All Rounders</t>
  </si>
  <si>
    <t>Highest Points Grab</t>
  </si>
  <si>
    <t xml:space="preserve">COMBINED PLAYER CALCULATION </t>
  </si>
  <si>
    <t>What if we consider best of both years</t>
  </si>
  <si>
    <t xml:space="preserve">High Point scorer combinations </t>
  </si>
  <si>
    <t>HYPOTHESIS 3</t>
  </si>
  <si>
    <t>All Rounders</t>
  </si>
  <si>
    <t>HYPOTHESIS 4</t>
  </si>
  <si>
    <t xml:space="preserve">Total </t>
  </si>
  <si>
    <t>What if we consider best teams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</si>
</sst>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 Black"/>
      <family val="2"/>
    </font>
    <font>
      <b/>
      <sz val="11"/>
      <color theme="1"/>
      <name val="Arial"/>
      <family val="2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3" borderId="9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Fill="1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0" fillId="0" borderId="9" xfId="0" applyBorder="1" applyAlignment="1"/>
    <xf numFmtId="0" fontId="0" fillId="0" borderId="9" xfId="0" applyFill="1" applyBorder="1" applyAlignment="1">
      <alignment horizontal="center"/>
    </xf>
    <xf numFmtId="0" fontId="0" fillId="0" borderId="0" xfId="0" applyBorder="1" applyAlignment="1"/>
    <xf numFmtId="0" fontId="3" fillId="7" borderId="9" xfId="0" applyFont="1" applyFill="1" applyBorder="1" applyAlignment="1"/>
    <xf numFmtId="0" fontId="1" fillId="7" borderId="9" xfId="0" applyFont="1" applyFill="1" applyBorder="1"/>
    <xf numFmtId="0" fontId="0" fillId="0" borderId="9" xfId="0" applyBorder="1"/>
    <xf numFmtId="0" fontId="1" fillId="7" borderId="15" xfId="0" applyFont="1" applyFill="1" applyBorder="1"/>
    <xf numFmtId="0" fontId="1" fillId="7" borderId="16" xfId="0" applyFont="1" applyFill="1" applyBorder="1"/>
    <xf numFmtId="0" fontId="0" fillId="0" borderId="12" xfId="0" applyBorder="1"/>
    <xf numFmtId="0" fontId="0" fillId="0" borderId="13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4" xfId="0" applyBorder="1"/>
    <xf numFmtId="0" fontId="0" fillId="0" borderId="22" xfId="0" applyBorder="1"/>
    <xf numFmtId="0" fontId="1" fillId="7" borderId="23" xfId="0" applyFont="1" applyFill="1" applyBorder="1"/>
    <xf numFmtId="0" fontId="1" fillId="7" borderId="24" xfId="0" applyFont="1" applyFill="1" applyBorder="1"/>
    <xf numFmtId="0" fontId="1" fillId="7" borderId="25" xfId="0" applyFont="1" applyFill="1" applyBorder="1"/>
    <xf numFmtId="0" fontId="5" fillId="0" borderId="0" xfId="0" applyFont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9" xfId="0" applyBorder="1" applyAlignment="1">
      <alignment horizontal="right"/>
    </xf>
    <xf numFmtId="0" fontId="4" fillId="4" borderId="9" xfId="0" applyFont="1" applyFill="1" applyBorder="1"/>
    <xf numFmtId="0" fontId="4" fillId="3" borderId="9" xfId="0" applyFont="1" applyFill="1" applyBorder="1"/>
    <xf numFmtId="0" fontId="4" fillId="9" borderId="9" xfId="0" applyFont="1" applyFill="1" applyBorder="1"/>
    <xf numFmtId="0" fontId="4" fillId="7" borderId="9" xfId="0" applyFont="1" applyFill="1" applyBorder="1"/>
    <xf numFmtId="0" fontId="0" fillId="5" borderId="9" xfId="0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 applyAlignment="1">
      <alignment horizontal="left"/>
    </xf>
    <xf numFmtId="0" fontId="1" fillId="8" borderId="0" xfId="0" applyFont="1" applyFill="1" applyAlignment="1">
      <alignment horizontal="left"/>
    </xf>
    <xf numFmtId="0" fontId="0" fillId="6" borderId="9" xfId="0" applyFill="1" applyBorder="1"/>
    <xf numFmtId="0" fontId="0" fillId="9" borderId="9" xfId="0" applyFill="1" applyBorder="1"/>
    <xf numFmtId="0" fontId="0" fillId="0" borderId="9" xfId="0" applyFill="1" applyBorder="1"/>
    <xf numFmtId="0" fontId="0" fillId="10" borderId="9" xfId="0" applyFill="1" applyBorder="1"/>
    <xf numFmtId="0" fontId="4" fillId="5" borderId="9" xfId="0" applyFont="1" applyFill="1" applyBorder="1"/>
    <xf numFmtId="0" fontId="4" fillId="10" borderId="9" xfId="0" applyFont="1" applyFill="1" applyBorder="1"/>
    <xf numFmtId="0" fontId="4" fillId="6" borderId="9" xfId="0" applyFont="1" applyFill="1" applyBorder="1"/>
    <xf numFmtId="0" fontId="1" fillId="7" borderId="0" xfId="0" applyFont="1" applyFill="1" applyAlignment="1"/>
    <xf numFmtId="0" fontId="1" fillId="0" borderId="0" xfId="0" applyFont="1" applyFill="1" applyAlignment="1"/>
    <xf numFmtId="0" fontId="1" fillId="0" borderId="0" xfId="0" applyFont="1" applyBorder="1" applyAlignment="1">
      <alignment horizontal="center"/>
    </xf>
    <xf numFmtId="0" fontId="0" fillId="5" borderId="13" xfId="0" applyFill="1" applyBorder="1"/>
    <xf numFmtId="0" fontId="1" fillId="7" borderId="16" xfId="0" applyFont="1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6" fillId="7" borderId="9" xfId="0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49" fontId="2" fillId="0" borderId="9" xfId="0" applyNumberFormat="1" applyFont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7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B10"/>
  <sheetViews>
    <sheetView workbookViewId="0">
      <selection activeCell="C7" sqref="C7"/>
    </sheetView>
  </sheetViews>
  <sheetFormatPr defaultRowHeight="15" x14ac:dyDescent="0.25"/>
  <sheetData>
    <row r="5" spans="2:2" x14ac:dyDescent="0.25">
      <c r="B5" t="s">
        <v>0</v>
      </c>
    </row>
    <row r="6" spans="2:2" x14ac:dyDescent="0.25">
      <c r="B6" t="s">
        <v>1</v>
      </c>
    </row>
    <row r="7" spans="2:2" x14ac:dyDescent="0.25">
      <c r="B7" t="s">
        <v>2</v>
      </c>
    </row>
    <row r="8" spans="2:2" x14ac:dyDescent="0.25">
      <c r="B8" t="s">
        <v>3</v>
      </c>
    </row>
    <row r="10" spans="2:2" x14ac:dyDescent="0.25">
      <c r="B10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E8"/>
  <sheetViews>
    <sheetView workbookViewId="0">
      <selection activeCell="B4" sqref="B4:E8"/>
    </sheetView>
  </sheetViews>
  <sheetFormatPr defaultRowHeight="15" x14ac:dyDescent="0.25"/>
  <sheetData>
    <row r="4" spans="2:5" x14ac:dyDescent="0.25">
      <c r="B4" t="s">
        <v>5</v>
      </c>
    </row>
    <row r="5" spans="2:5" x14ac:dyDescent="0.25">
      <c r="B5" t="s">
        <v>6</v>
      </c>
    </row>
    <row r="6" spans="2:5" x14ac:dyDescent="0.25">
      <c r="B6" t="s">
        <v>7</v>
      </c>
      <c r="E6">
        <v>533</v>
      </c>
    </row>
    <row r="7" spans="2:5" x14ac:dyDescent="0.25">
      <c r="B7" t="s">
        <v>7</v>
      </c>
      <c r="E7">
        <v>722</v>
      </c>
    </row>
    <row r="8" spans="2:5" x14ac:dyDescent="0.25">
      <c r="B8" t="s">
        <v>8</v>
      </c>
      <c r="E8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L23"/>
  <sheetViews>
    <sheetView workbookViewId="0">
      <selection sqref="A1:XFD1"/>
    </sheetView>
  </sheetViews>
  <sheetFormatPr defaultRowHeight="15" x14ac:dyDescent="0.25"/>
  <cols>
    <col min="3" max="3" width="24" bestFit="1" customWidth="1"/>
    <col min="6" max="6" width="19.140625" bestFit="1" customWidth="1"/>
  </cols>
  <sheetData>
    <row r="3" spans="2:12" ht="15.75" thickBot="1" x14ac:dyDescent="0.3"/>
    <row r="4" spans="2:12" x14ac:dyDescent="0.25">
      <c r="B4" s="6"/>
      <c r="C4" s="7"/>
      <c r="D4" s="7"/>
      <c r="E4" s="7"/>
      <c r="F4" s="7"/>
      <c r="G4" s="7"/>
      <c r="H4" s="8"/>
      <c r="I4" s="14"/>
      <c r="J4" s="14"/>
      <c r="K4" s="14"/>
      <c r="L4" s="14"/>
    </row>
    <row r="5" spans="2:12" ht="18.75" x14ac:dyDescent="0.4">
      <c r="B5" s="25"/>
      <c r="C5" s="18" t="s">
        <v>9</v>
      </c>
      <c r="D5" s="19" t="s">
        <v>238</v>
      </c>
      <c r="E5" s="9"/>
      <c r="F5" s="18" t="s">
        <v>10</v>
      </c>
      <c r="G5" s="19" t="s">
        <v>238</v>
      </c>
      <c r="H5" s="10"/>
      <c r="I5" s="14"/>
      <c r="J5" s="14"/>
      <c r="K5" s="14"/>
      <c r="L5" s="14"/>
    </row>
    <row r="6" spans="2:12" x14ac:dyDescent="0.25">
      <c r="B6" s="25"/>
      <c r="C6" s="21"/>
      <c r="D6" s="21"/>
      <c r="E6" s="9"/>
      <c r="F6" s="21"/>
      <c r="G6" s="21"/>
      <c r="H6" s="10"/>
      <c r="I6" s="14"/>
      <c r="J6" s="14"/>
      <c r="K6" s="14"/>
      <c r="L6" s="14"/>
    </row>
    <row r="7" spans="2:12" x14ac:dyDescent="0.25">
      <c r="B7" s="25"/>
      <c r="C7" s="20" t="s">
        <v>12</v>
      </c>
      <c r="D7" s="20">
        <v>1</v>
      </c>
      <c r="E7" s="12"/>
      <c r="F7" s="20" t="s">
        <v>17</v>
      </c>
      <c r="G7" s="20">
        <v>25</v>
      </c>
      <c r="H7" s="13"/>
      <c r="I7" s="14"/>
      <c r="J7" s="14"/>
      <c r="K7" s="14"/>
      <c r="L7" s="14"/>
    </row>
    <row r="8" spans="2:12" x14ac:dyDescent="0.25">
      <c r="B8" s="25"/>
      <c r="C8" s="20" t="s">
        <v>13</v>
      </c>
      <c r="D8" s="20">
        <v>1</v>
      </c>
      <c r="E8" s="12"/>
      <c r="F8" s="20" t="s">
        <v>18</v>
      </c>
      <c r="G8" s="20">
        <v>8</v>
      </c>
      <c r="H8" s="13"/>
      <c r="I8" s="14"/>
      <c r="J8" s="14"/>
      <c r="K8" s="14"/>
      <c r="L8" s="14"/>
    </row>
    <row r="9" spans="2:12" x14ac:dyDescent="0.25">
      <c r="B9" s="25"/>
      <c r="C9" s="20" t="s">
        <v>14</v>
      </c>
      <c r="D9" s="20">
        <v>2</v>
      </c>
      <c r="E9" s="12"/>
      <c r="F9" s="20" t="s">
        <v>19</v>
      </c>
      <c r="G9" s="20">
        <v>8</v>
      </c>
      <c r="H9" s="13"/>
      <c r="I9" s="12"/>
      <c r="J9" s="12"/>
      <c r="K9" s="12"/>
      <c r="L9" s="14"/>
    </row>
    <row r="10" spans="2:12" x14ac:dyDescent="0.25">
      <c r="B10" s="25"/>
      <c r="C10" s="20" t="s">
        <v>15</v>
      </c>
      <c r="D10" s="20">
        <v>8</v>
      </c>
      <c r="E10" s="12"/>
      <c r="F10" s="12"/>
      <c r="G10" s="12"/>
      <c r="H10" s="13"/>
      <c r="I10" s="12"/>
      <c r="J10" s="12"/>
      <c r="K10" s="12"/>
      <c r="L10" s="14"/>
    </row>
    <row r="11" spans="2:12" x14ac:dyDescent="0.25">
      <c r="B11" s="25"/>
      <c r="C11" s="20" t="s">
        <v>16</v>
      </c>
      <c r="D11" s="20">
        <v>16</v>
      </c>
      <c r="E11" s="9"/>
      <c r="F11" s="9"/>
      <c r="G11" s="9"/>
      <c r="H11" s="10"/>
      <c r="I11" s="9"/>
      <c r="J11" s="9"/>
      <c r="K11" s="9"/>
      <c r="L11" s="14"/>
    </row>
    <row r="12" spans="2:12" x14ac:dyDescent="0.25">
      <c r="B12" s="25"/>
      <c r="C12" s="9"/>
      <c r="D12" s="9"/>
      <c r="E12" s="9"/>
      <c r="F12" s="9"/>
      <c r="G12" s="9"/>
      <c r="H12" s="10"/>
      <c r="I12" s="9"/>
      <c r="J12" s="9"/>
      <c r="K12" s="9"/>
      <c r="L12" s="14"/>
    </row>
    <row r="13" spans="2:12" ht="18.75" x14ac:dyDescent="0.4">
      <c r="B13" s="25"/>
      <c r="C13" s="18" t="s">
        <v>22</v>
      </c>
      <c r="D13" s="19" t="s">
        <v>238</v>
      </c>
      <c r="E13" s="9"/>
      <c r="F13" s="14"/>
      <c r="G13" s="14"/>
      <c r="H13" s="10"/>
      <c r="I13" s="9"/>
      <c r="J13" s="9"/>
      <c r="K13" s="9"/>
      <c r="L13" s="14"/>
    </row>
    <row r="14" spans="2:12" ht="18.75" x14ac:dyDescent="0.4">
      <c r="B14" s="25"/>
      <c r="C14" s="28"/>
      <c r="D14" s="28"/>
      <c r="E14" s="9"/>
      <c r="F14" s="18" t="s">
        <v>23</v>
      </c>
      <c r="G14" s="19" t="s">
        <v>238</v>
      </c>
      <c r="H14" s="10"/>
      <c r="I14" s="9"/>
      <c r="J14" s="9"/>
      <c r="K14" s="9"/>
      <c r="L14" s="14"/>
    </row>
    <row r="15" spans="2:12" x14ac:dyDescent="0.25">
      <c r="B15" s="11"/>
      <c r="C15" s="24" t="s">
        <v>29</v>
      </c>
      <c r="D15" s="24">
        <v>-2</v>
      </c>
      <c r="E15" s="12"/>
      <c r="F15" s="22"/>
      <c r="G15" s="23"/>
      <c r="H15" s="26"/>
      <c r="I15" s="9"/>
      <c r="J15" s="9"/>
      <c r="K15" s="9"/>
      <c r="L15" s="14"/>
    </row>
    <row r="16" spans="2:12" x14ac:dyDescent="0.25">
      <c r="B16" s="11"/>
      <c r="C16" s="24" t="s">
        <v>30</v>
      </c>
      <c r="D16" s="24">
        <v>-4</v>
      </c>
      <c r="E16" s="12"/>
      <c r="F16" s="20" t="s">
        <v>25</v>
      </c>
      <c r="G16" s="20">
        <v>6</v>
      </c>
      <c r="H16" s="26"/>
      <c r="I16" s="9"/>
      <c r="J16" s="9"/>
      <c r="K16" s="9"/>
      <c r="L16" s="14"/>
    </row>
    <row r="17" spans="2:12" x14ac:dyDescent="0.25">
      <c r="B17" s="11"/>
      <c r="C17" s="24" t="s">
        <v>31</v>
      </c>
      <c r="D17" s="24">
        <v>-6</v>
      </c>
      <c r="E17" s="12"/>
      <c r="F17" s="20" t="s">
        <v>24</v>
      </c>
      <c r="G17" s="20">
        <v>4</v>
      </c>
      <c r="H17" s="26"/>
      <c r="I17" s="9"/>
      <c r="J17" s="9"/>
      <c r="K17" s="9"/>
      <c r="L17" s="14"/>
    </row>
    <row r="18" spans="2:12" x14ac:dyDescent="0.25">
      <c r="B18" s="11"/>
      <c r="C18" s="12"/>
      <c r="D18" s="12"/>
      <c r="E18" s="12"/>
      <c r="F18" s="20" t="s">
        <v>26</v>
      </c>
      <c r="G18" s="20">
        <v>2</v>
      </c>
      <c r="H18" s="26"/>
      <c r="I18" s="9"/>
      <c r="J18" s="9"/>
      <c r="K18" s="9"/>
      <c r="L18" s="14"/>
    </row>
    <row r="19" spans="2:12" ht="18.75" x14ac:dyDescent="0.4">
      <c r="B19" s="11"/>
      <c r="C19" s="30" t="s">
        <v>11</v>
      </c>
      <c r="D19" s="19" t="s">
        <v>305</v>
      </c>
      <c r="E19" s="14"/>
      <c r="F19" s="20" t="s">
        <v>32</v>
      </c>
      <c r="G19" s="20">
        <v>-2</v>
      </c>
      <c r="H19" s="26"/>
      <c r="I19" s="9"/>
      <c r="J19" s="9"/>
      <c r="K19" s="9"/>
      <c r="L19" s="14"/>
    </row>
    <row r="20" spans="2:12" x14ac:dyDescent="0.25">
      <c r="B20" s="11"/>
      <c r="C20" s="22"/>
      <c r="D20" s="23"/>
      <c r="E20" s="29"/>
      <c r="F20" s="20" t="s">
        <v>33</v>
      </c>
      <c r="G20" s="20">
        <v>-4</v>
      </c>
      <c r="H20" s="26"/>
      <c r="I20" s="9"/>
      <c r="J20" s="9"/>
      <c r="K20" s="9"/>
      <c r="L20" s="14"/>
    </row>
    <row r="21" spans="2:12" x14ac:dyDescent="0.25">
      <c r="B21" s="25"/>
      <c r="C21" s="27" t="s">
        <v>20</v>
      </c>
      <c r="D21" s="20" t="s">
        <v>27</v>
      </c>
      <c r="E21" s="14"/>
      <c r="F21" s="20" t="s">
        <v>34</v>
      </c>
      <c r="G21" s="20">
        <v>-6</v>
      </c>
      <c r="H21" s="26"/>
      <c r="I21" s="14"/>
      <c r="J21" s="14"/>
      <c r="K21" s="14"/>
      <c r="L21" s="14"/>
    </row>
    <row r="22" spans="2:12" x14ac:dyDescent="0.25">
      <c r="B22" s="25"/>
      <c r="C22" s="20" t="s">
        <v>21</v>
      </c>
      <c r="D22" s="20" t="s">
        <v>28</v>
      </c>
      <c r="E22" s="14"/>
      <c r="F22" s="14"/>
      <c r="G22" s="14"/>
      <c r="H22" s="26"/>
    </row>
    <row r="23" spans="2:12" ht="15.75" thickBot="1" x14ac:dyDescent="0.3">
      <c r="B23" s="15"/>
      <c r="C23" s="16"/>
      <c r="D23" s="16"/>
      <c r="E23" s="16"/>
      <c r="F23" s="16"/>
      <c r="G23" s="16"/>
      <c r="H23" s="17"/>
    </row>
  </sheetData>
  <mergeCells count="5">
    <mergeCell ref="C14:D14"/>
    <mergeCell ref="F15:G15"/>
    <mergeCell ref="C20:D20"/>
    <mergeCell ref="C6:D6"/>
    <mergeCell ref="F6:G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58"/>
  <sheetViews>
    <sheetView workbookViewId="0">
      <selection activeCell="Q2" sqref="Q2"/>
    </sheetView>
  </sheetViews>
  <sheetFormatPr defaultRowHeight="15" x14ac:dyDescent="0.25"/>
  <cols>
    <col min="1" max="1" width="14.85546875" bestFit="1" customWidth="1"/>
    <col min="2" max="2" width="10.5703125" bestFit="1" customWidth="1"/>
    <col min="3" max="3" width="11.140625" bestFit="1" customWidth="1"/>
    <col min="14" max="14" width="9.7109375" bestFit="1" customWidth="1"/>
    <col min="15" max="15" width="18" bestFit="1" customWidth="1"/>
    <col min="16" max="16" width="8.5703125" bestFit="1" customWidth="1"/>
    <col min="17" max="17" width="19.5703125" bestFit="1" customWidth="1"/>
    <col min="20" max="20" width="14.85546875" customWidth="1"/>
    <col min="21" max="21" width="13.28515625" customWidth="1"/>
    <col min="22" max="68" width="4" customWidth="1"/>
    <col min="69" max="69" width="11.28515625" customWidth="1"/>
    <col min="70" max="70" width="11.7109375" customWidth="1"/>
    <col min="71" max="71" width="14.85546875" bestFit="1" customWidth="1"/>
    <col min="72" max="72" width="11.42578125" customWidth="1"/>
    <col min="73" max="73" width="14.5703125" bestFit="1" customWidth="1"/>
    <col min="74" max="74" width="9" customWidth="1"/>
    <col min="75" max="75" width="12" customWidth="1"/>
    <col min="76" max="76" width="12.42578125" bestFit="1" customWidth="1"/>
    <col min="77" max="77" width="15.5703125" bestFit="1" customWidth="1"/>
    <col min="78" max="78" width="11.85546875" customWidth="1"/>
    <col min="79" max="79" width="15" bestFit="1" customWidth="1"/>
    <col min="80" max="80" width="11.28515625" customWidth="1"/>
    <col min="81" max="81" width="11.28515625" bestFit="1" customWidth="1"/>
  </cols>
  <sheetData>
    <row r="1" spans="1:21" ht="18.75" x14ac:dyDescent="0.3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  <c r="F1" s="1" t="s">
        <v>40</v>
      </c>
      <c r="G1" s="1" t="s">
        <v>41</v>
      </c>
      <c r="H1" s="1" t="s">
        <v>42</v>
      </c>
      <c r="I1" s="1" t="s">
        <v>43</v>
      </c>
      <c r="J1" s="1" t="s">
        <v>44</v>
      </c>
      <c r="K1" s="1" t="s">
        <v>45</v>
      </c>
      <c r="L1" s="1" t="s">
        <v>46</v>
      </c>
      <c r="M1" s="1" t="s">
        <v>47</v>
      </c>
      <c r="N1" s="1" t="s">
        <v>111</v>
      </c>
      <c r="O1" s="1" t="s">
        <v>239</v>
      </c>
      <c r="P1" s="1" t="s">
        <v>112</v>
      </c>
      <c r="Q1" s="1" t="s">
        <v>113</v>
      </c>
    </row>
    <row r="2" spans="1:21" x14ac:dyDescent="0.25">
      <c r="A2" t="s">
        <v>48</v>
      </c>
      <c r="B2" t="s">
        <v>49</v>
      </c>
      <c r="C2">
        <v>14</v>
      </c>
      <c r="D2">
        <v>14</v>
      </c>
      <c r="E2">
        <v>2</v>
      </c>
      <c r="F2">
        <v>670</v>
      </c>
      <c r="G2" t="s">
        <v>50</v>
      </c>
      <c r="H2">
        <v>1</v>
      </c>
      <c r="I2">
        <v>5</v>
      </c>
      <c r="J2">
        <v>55.83</v>
      </c>
      <c r="K2">
        <v>129.34</v>
      </c>
      <c r="L2">
        <v>58</v>
      </c>
      <c r="M2">
        <v>23</v>
      </c>
      <c r="N2">
        <f t="shared" ref="N2:N33" si="0">((F2*1)+(H2*16) +(I2*8)+(L2*1)+(M2*2))</f>
        <v>830</v>
      </c>
      <c r="O2" t="str">
        <f t="shared" ref="O2:O33" si="1">IF(AND(K2&gt;=60,K2&lt;=70),-1,IF(AND(K2&gt;=50,K2&lt;=59.9),-4,IF(K2&lt;50,-6,"NA")))</f>
        <v>NA</v>
      </c>
      <c r="P2">
        <f t="shared" ref="P2:P33" si="2">IFERROR(N2+O2,N2)</f>
        <v>830</v>
      </c>
      <c r="Q2" t="str">
        <f>IFERROR(VLOOKUP(A2,'Bowlers 20'!$A$1:$O$51,1,0),"NA")</f>
        <v>NA</v>
      </c>
    </row>
    <row r="3" spans="1:21" x14ac:dyDescent="0.25">
      <c r="A3" t="s">
        <v>51</v>
      </c>
      <c r="B3" t="s">
        <v>52</v>
      </c>
      <c r="C3">
        <v>17</v>
      </c>
      <c r="D3">
        <v>17</v>
      </c>
      <c r="E3">
        <v>3</v>
      </c>
      <c r="F3">
        <v>618</v>
      </c>
      <c r="G3" t="s">
        <v>53</v>
      </c>
      <c r="H3">
        <v>2</v>
      </c>
      <c r="I3">
        <v>4</v>
      </c>
      <c r="J3">
        <v>44.14</v>
      </c>
      <c r="K3">
        <v>144.72999999999999</v>
      </c>
      <c r="L3">
        <v>67</v>
      </c>
      <c r="M3">
        <v>12</v>
      </c>
      <c r="N3">
        <f t="shared" si="0"/>
        <v>773</v>
      </c>
      <c r="O3" t="str">
        <f t="shared" si="1"/>
        <v>NA</v>
      </c>
      <c r="P3">
        <f t="shared" si="2"/>
        <v>773</v>
      </c>
      <c r="Q3" t="str">
        <f>IFERROR(VLOOKUP(A3,'Bowlers 20'!$A$1:$O$51,1,0),"NA")</f>
        <v>NA</v>
      </c>
    </row>
    <row r="4" spans="1:21" x14ac:dyDescent="0.25">
      <c r="A4" t="s">
        <v>54</v>
      </c>
      <c r="B4" t="s">
        <v>55</v>
      </c>
      <c r="C4">
        <v>16</v>
      </c>
      <c r="D4">
        <v>16</v>
      </c>
      <c r="E4">
        <v>2</v>
      </c>
      <c r="F4">
        <v>548</v>
      </c>
      <c r="G4">
        <v>85</v>
      </c>
      <c r="H4">
        <v>0</v>
      </c>
      <c r="I4">
        <v>4</v>
      </c>
      <c r="J4">
        <v>39.14</v>
      </c>
      <c r="K4">
        <v>134.63999999999999</v>
      </c>
      <c r="L4">
        <v>52</v>
      </c>
      <c r="M4">
        <v>14</v>
      </c>
      <c r="N4">
        <f t="shared" si="0"/>
        <v>660</v>
      </c>
      <c r="O4" t="str">
        <f t="shared" si="1"/>
        <v>NA</v>
      </c>
      <c r="P4">
        <f t="shared" si="2"/>
        <v>660</v>
      </c>
      <c r="Q4" t="str">
        <f>IFERROR(VLOOKUP(A4,'Bowlers 20'!$A$1:$O$51,1,0),"NA")</f>
        <v>NA</v>
      </c>
    </row>
    <row r="5" spans="1:21" x14ac:dyDescent="0.25">
      <c r="A5" t="s">
        <v>57</v>
      </c>
      <c r="B5" t="s">
        <v>58</v>
      </c>
      <c r="C5">
        <v>14</v>
      </c>
      <c r="D5">
        <v>13</v>
      </c>
      <c r="E5">
        <v>4</v>
      </c>
      <c r="F5">
        <v>516</v>
      </c>
      <c r="G5">
        <v>99</v>
      </c>
      <c r="H5">
        <v>0</v>
      </c>
      <c r="I5">
        <v>4</v>
      </c>
      <c r="J5">
        <v>57.33</v>
      </c>
      <c r="K5">
        <v>145.76</v>
      </c>
      <c r="L5">
        <v>36</v>
      </c>
      <c r="M5">
        <v>30</v>
      </c>
      <c r="N5">
        <f t="shared" si="0"/>
        <v>644</v>
      </c>
      <c r="O5" t="str">
        <f t="shared" si="1"/>
        <v>NA</v>
      </c>
      <c r="P5">
        <f t="shared" si="2"/>
        <v>644</v>
      </c>
      <c r="Q5" t="str">
        <f>IFERROR(VLOOKUP(A5,'Bowlers 20'!$A$1:$O$51,1,0),"NA")</f>
        <v>NA</v>
      </c>
    </row>
    <row r="6" spans="1:21" x14ac:dyDescent="0.25">
      <c r="A6" t="s">
        <v>59</v>
      </c>
      <c r="B6" t="s">
        <v>58</v>
      </c>
      <c r="C6">
        <v>16</v>
      </c>
      <c r="D6">
        <v>16</v>
      </c>
      <c r="E6">
        <v>2</v>
      </c>
      <c r="F6">
        <v>503</v>
      </c>
      <c r="G6">
        <v>78</v>
      </c>
      <c r="H6">
        <v>0</v>
      </c>
      <c r="I6">
        <v>4</v>
      </c>
      <c r="J6">
        <v>35.93</v>
      </c>
      <c r="K6">
        <v>140.5</v>
      </c>
      <c r="L6">
        <v>46</v>
      </c>
      <c r="M6">
        <v>22</v>
      </c>
      <c r="N6">
        <f t="shared" si="0"/>
        <v>625</v>
      </c>
      <c r="O6" t="str">
        <f t="shared" si="1"/>
        <v>NA</v>
      </c>
      <c r="P6">
        <f t="shared" si="2"/>
        <v>625</v>
      </c>
      <c r="Q6" t="str">
        <f>IFERROR(VLOOKUP(A6,'Bowlers 20'!$A$1:$O$51,1,0),"NA")</f>
        <v>NA</v>
      </c>
    </row>
    <row r="7" spans="1:21" x14ac:dyDescent="0.25">
      <c r="A7" t="s">
        <v>56</v>
      </c>
      <c r="B7" t="s">
        <v>52</v>
      </c>
      <c r="C7">
        <v>17</v>
      </c>
      <c r="D7">
        <v>17</v>
      </c>
      <c r="E7">
        <v>2</v>
      </c>
      <c r="F7">
        <v>519</v>
      </c>
      <c r="G7">
        <v>88</v>
      </c>
      <c r="H7">
        <v>0</v>
      </c>
      <c r="I7">
        <v>3</v>
      </c>
      <c r="J7">
        <v>34.6</v>
      </c>
      <c r="K7">
        <v>123.28</v>
      </c>
      <c r="L7">
        <v>40</v>
      </c>
      <c r="M7">
        <v>14</v>
      </c>
      <c r="N7">
        <f t="shared" si="0"/>
        <v>611</v>
      </c>
      <c r="O7" t="str">
        <f t="shared" si="1"/>
        <v>NA</v>
      </c>
      <c r="P7">
        <f t="shared" si="2"/>
        <v>611</v>
      </c>
      <c r="Q7" t="str">
        <f>IFERROR(VLOOKUP(A7,'Bowlers 20'!$A$1:$O$51,1,0),"NA")</f>
        <v>NA</v>
      </c>
    </row>
    <row r="8" spans="1:21" x14ac:dyDescent="0.25">
      <c r="A8" t="s">
        <v>60</v>
      </c>
      <c r="B8" t="s">
        <v>58</v>
      </c>
      <c r="C8">
        <v>16</v>
      </c>
      <c r="D8">
        <v>15</v>
      </c>
      <c r="E8">
        <v>3</v>
      </c>
      <c r="F8">
        <v>480</v>
      </c>
      <c r="G8">
        <v>79</v>
      </c>
      <c r="H8">
        <v>0</v>
      </c>
      <c r="I8">
        <v>4</v>
      </c>
      <c r="J8">
        <v>40</v>
      </c>
      <c r="K8">
        <v>145.02000000000001</v>
      </c>
      <c r="L8">
        <v>61</v>
      </c>
      <c r="M8">
        <v>11</v>
      </c>
      <c r="N8">
        <f t="shared" si="0"/>
        <v>595</v>
      </c>
      <c r="O8" t="str">
        <f t="shared" si="1"/>
        <v>NA</v>
      </c>
      <c r="P8">
        <f t="shared" si="2"/>
        <v>595</v>
      </c>
      <c r="Q8" t="str">
        <f>IFERROR(VLOOKUP(A8,'Bowlers 20'!$A$1:$O$51,1,0),"NA")</f>
        <v>NA</v>
      </c>
      <c r="T8" s="2"/>
      <c r="U8" s="3"/>
    </row>
    <row r="9" spans="1:21" x14ac:dyDescent="0.25">
      <c r="A9" t="s">
        <v>61</v>
      </c>
      <c r="B9" t="s">
        <v>62</v>
      </c>
      <c r="C9">
        <v>15</v>
      </c>
      <c r="D9">
        <v>15</v>
      </c>
      <c r="E9">
        <v>0</v>
      </c>
      <c r="F9">
        <v>473</v>
      </c>
      <c r="G9">
        <v>74</v>
      </c>
      <c r="H9">
        <v>0</v>
      </c>
      <c r="I9">
        <v>5</v>
      </c>
      <c r="J9">
        <v>31.53</v>
      </c>
      <c r="K9">
        <v>124.8</v>
      </c>
      <c r="L9">
        <v>51</v>
      </c>
      <c r="M9">
        <v>8</v>
      </c>
      <c r="N9">
        <f t="shared" si="0"/>
        <v>580</v>
      </c>
      <c r="O9" t="str">
        <f t="shared" si="1"/>
        <v>NA</v>
      </c>
      <c r="P9">
        <f t="shared" si="2"/>
        <v>580</v>
      </c>
      <c r="Q9" t="str">
        <f>IFERROR(VLOOKUP(A9,'Bowlers 20'!$A$1:$O$51,1,0),"NA")</f>
        <v>NA</v>
      </c>
      <c r="T9" s="2"/>
      <c r="U9" s="3"/>
    </row>
    <row r="10" spans="1:21" x14ac:dyDescent="0.25">
      <c r="A10" t="s">
        <v>64</v>
      </c>
      <c r="B10" t="s">
        <v>62</v>
      </c>
      <c r="C10">
        <v>15</v>
      </c>
      <c r="D10">
        <v>14</v>
      </c>
      <c r="E10">
        <v>4</v>
      </c>
      <c r="F10">
        <v>454</v>
      </c>
      <c r="G10">
        <v>73</v>
      </c>
      <c r="H10">
        <v>0</v>
      </c>
      <c r="I10">
        <v>5</v>
      </c>
      <c r="J10">
        <v>45.4</v>
      </c>
      <c r="K10">
        <v>158.74</v>
      </c>
      <c r="L10">
        <v>33</v>
      </c>
      <c r="M10">
        <v>23</v>
      </c>
      <c r="N10">
        <f t="shared" si="0"/>
        <v>573</v>
      </c>
      <c r="O10" t="str">
        <f t="shared" si="1"/>
        <v>NA</v>
      </c>
      <c r="P10">
        <f t="shared" si="2"/>
        <v>573</v>
      </c>
      <c r="Q10" t="str">
        <f>IFERROR(VLOOKUP(A10,'Bowlers 20'!$A$1:$O$51,1,0),"NA")</f>
        <v>NA</v>
      </c>
      <c r="T10" s="2"/>
      <c r="U10" s="3"/>
    </row>
    <row r="11" spans="1:21" x14ac:dyDescent="0.25">
      <c r="A11" t="s">
        <v>65</v>
      </c>
      <c r="B11" t="s">
        <v>66</v>
      </c>
      <c r="C11">
        <v>13</v>
      </c>
      <c r="D11">
        <v>13</v>
      </c>
      <c r="E11">
        <v>2</v>
      </c>
      <c r="F11">
        <v>449</v>
      </c>
      <c r="G11">
        <v>87</v>
      </c>
      <c r="H11">
        <v>0</v>
      </c>
      <c r="I11">
        <v>4</v>
      </c>
      <c r="J11">
        <v>40.82</v>
      </c>
      <c r="K11">
        <v>140.75</v>
      </c>
      <c r="L11">
        <v>42</v>
      </c>
      <c r="M11">
        <v>14</v>
      </c>
      <c r="N11">
        <f t="shared" si="0"/>
        <v>551</v>
      </c>
      <c r="O11" t="str">
        <f t="shared" si="1"/>
        <v>NA</v>
      </c>
      <c r="P11">
        <f t="shared" si="2"/>
        <v>551</v>
      </c>
      <c r="Q11" t="str">
        <f>IFERROR(VLOOKUP(A11,'Bowlers 20'!$A$1:$O$51,1,0),"NA")</f>
        <v>NA</v>
      </c>
      <c r="T11" s="2"/>
      <c r="U11" s="3"/>
    </row>
    <row r="12" spans="1:21" x14ac:dyDescent="0.25">
      <c r="A12" t="s">
        <v>63</v>
      </c>
      <c r="B12" t="s">
        <v>62</v>
      </c>
      <c r="C12">
        <v>15</v>
      </c>
      <c r="D12">
        <v>15</v>
      </c>
      <c r="E12">
        <v>4</v>
      </c>
      <c r="F12">
        <v>466</v>
      </c>
      <c r="G12">
        <v>90</v>
      </c>
      <c r="H12">
        <v>0</v>
      </c>
      <c r="I12">
        <v>3</v>
      </c>
      <c r="J12">
        <v>42.36</v>
      </c>
      <c r="K12">
        <v>121.35</v>
      </c>
      <c r="L12">
        <v>23</v>
      </c>
      <c r="M12">
        <v>11</v>
      </c>
      <c r="N12">
        <f t="shared" si="0"/>
        <v>535</v>
      </c>
      <c r="O12" t="str">
        <f t="shared" si="1"/>
        <v>NA</v>
      </c>
      <c r="P12">
        <f t="shared" si="2"/>
        <v>535</v>
      </c>
      <c r="Q12" t="str">
        <f>IFERROR(VLOOKUP(A12,'Bowlers 20'!$A$1:$O$51,1,0),"NA")</f>
        <v>NA</v>
      </c>
      <c r="T12" s="2"/>
      <c r="U12" s="3"/>
    </row>
    <row r="13" spans="1:21" x14ac:dyDescent="0.25">
      <c r="A13" t="s">
        <v>70</v>
      </c>
      <c r="B13" t="s">
        <v>49</v>
      </c>
      <c r="C13">
        <v>11</v>
      </c>
      <c r="D13">
        <v>11</v>
      </c>
      <c r="E13">
        <v>0</v>
      </c>
      <c r="F13">
        <v>424</v>
      </c>
      <c r="G13">
        <v>106</v>
      </c>
      <c r="H13">
        <v>1</v>
      </c>
      <c r="I13">
        <v>2</v>
      </c>
      <c r="J13">
        <v>38.549999999999997</v>
      </c>
      <c r="K13">
        <v>156.46</v>
      </c>
      <c r="L13">
        <v>44</v>
      </c>
      <c r="M13">
        <v>15</v>
      </c>
      <c r="N13">
        <f t="shared" si="0"/>
        <v>530</v>
      </c>
      <c r="O13" t="str">
        <f t="shared" si="1"/>
        <v>NA</v>
      </c>
      <c r="P13">
        <f t="shared" si="2"/>
        <v>530</v>
      </c>
      <c r="Q13" t="str">
        <f>IFERROR(VLOOKUP(A13,'Bowlers 20'!$A$1:$O$51,1,0),"NA")</f>
        <v>NA</v>
      </c>
      <c r="T13" s="2"/>
      <c r="U13" s="3"/>
    </row>
    <row r="14" spans="1:21" x14ac:dyDescent="0.25">
      <c r="A14" t="s">
        <v>67</v>
      </c>
      <c r="B14" t="s">
        <v>68</v>
      </c>
      <c r="C14">
        <v>14</v>
      </c>
      <c r="D14">
        <v>14</v>
      </c>
      <c r="E14">
        <v>1</v>
      </c>
      <c r="F14">
        <v>440</v>
      </c>
      <c r="G14">
        <v>70</v>
      </c>
      <c r="H14">
        <v>0</v>
      </c>
      <c r="I14">
        <v>3</v>
      </c>
      <c r="J14">
        <v>33.85</v>
      </c>
      <c r="K14">
        <v>117.96</v>
      </c>
      <c r="L14">
        <v>44</v>
      </c>
      <c r="M14">
        <v>9</v>
      </c>
      <c r="N14">
        <f t="shared" si="0"/>
        <v>526</v>
      </c>
      <c r="O14" t="str">
        <f t="shared" si="1"/>
        <v>NA</v>
      </c>
      <c r="P14">
        <f t="shared" si="2"/>
        <v>526</v>
      </c>
      <c r="Q14" t="str">
        <f>IFERROR(VLOOKUP(A14,'Bowlers 20'!$A$1:$O$51,1,0),"NA")</f>
        <v>NA</v>
      </c>
      <c r="T14" s="2"/>
      <c r="U14" s="3"/>
    </row>
    <row r="15" spans="1:21" x14ac:dyDescent="0.25">
      <c r="A15" t="s">
        <v>69</v>
      </c>
      <c r="B15" t="s">
        <v>55</v>
      </c>
      <c r="C15">
        <v>16</v>
      </c>
      <c r="D15">
        <v>15</v>
      </c>
      <c r="E15">
        <v>2</v>
      </c>
      <c r="F15">
        <v>425</v>
      </c>
      <c r="G15">
        <v>83</v>
      </c>
      <c r="H15">
        <v>0</v>
      </c>
      <c r="I15">
        <v>3</v>
      </c>
      <c r="J15">
        <v>32.69</v>
      </c>
      <c r="K15">
        <v>127.63</v>
      </c>
      <c r="L15">
        <v>35</v>
      </c>
      <c r="M15">
        <v>18</v>
      </c>
      <c r="N15">
        <f t="shared" si="0"/>
        <v>520</v>
      </c>
      <c r="O15" t="str">
        <f t="shared" si="1"/>
        <v>NA</v>
      </c>
      <c r="P15">
        <f t="shared" si="2"/>
        <v>520</v>
      </c>
      <c r="Q15" t="str">
        <f>IFERROR(VLOOKUP(A15,'Bowlers 20'!$A$1:$O$51,1,0),"NA")</f>
        <v>NA</v>
      </c>
      <c r="T15" s="2"/>
      <c r="U15" s="3"/>
    </row>
    <row r="16" spans="1:21" x14ac:dyDescent="0.25">
      <c r="A16" t="s">
        <v>71</v>
      </c>
      <c r="B16" t="s">
        <v>68</v>
      </c>
      <c r="C16">
        <v>14</v>
      </c>
      <c r="D16">
        <v>14</v>
      </c>
      <c r="E16">
        <v>4</v>
      </c>
      <c r="F16">
        <v>418</v>
      </c>
      <c r="G16" t="s">
        <v>72</v>
      </c>
      <c r="H16">
        <v>0</v>
      </c>
      <c r="I16">
        <v>1</v>
      </c>
      <c r="J16">
        <v>41.8</v>
      </c>
      <c r="K16">
        <v>138.41</v>
      </c>
      <c r="L16">
        <v>32</v>
      </c>
      <c r="M16">
        <v>24</v>
      </c>
      <c r="N16">
        <f t="shared" si="0"/>
        <v>506</v>
      </c>
      <c r="O16" t="str">
        <f t="shared" si="1"/>
        <v>NA</v>
      </c>
      <c r="P16">
        <f t="shared" si="2"/>
        <v>506</v>
      </c>
      <c r="Q16" t="str">
        <f>IFERROR(VLOOKUP(A16,'Bowlers 20'!$A$1:$O$51,1,0),"NA")</f>
        <v>NA</v>
      </c>
      <c r="T16" s="2"/>
      <c r="U16" s="3"/>
    </row>
    <row r="17" spans="1:21" x14ac:dyDescent="0.25">
      <c r="A17" t="s">
        <v>73</v>
      </c>
      <c r="B17" t="s">
        <v>74</v>
      </c>
      <c r="C17">
        <v>14</v>
      </c>
      <c r="D17">
        <v>14</v>
      </c>
      <c r="E17">
        <v>1</v>
      </c>
      <c r="F17">
        <v>375</v>
      </c>
      <c r="G17">
        <v>85</v>
      </c>
      <c r="H17">
        <v>0</v>
      </c>
      <c r="I17">
        <v>3</v>
      </c>
      <c r="J17">
        <v>28.85</v>
      </c>
      <c r="K17">
        <v>158.9</v>
      </c>
      <c r="L17">
        <v>21</v>
      </c>
      <c r="M17">
        <v>26</v>
      </c>
      <c r="N17">
        <f t="shared" si="0"/>
        <v>472</v>
      </c>
      <c r="O17" t="str">
        <f t="shared" si="1"/>
        <v>NA</v>
      </c>
      <c r="P17">
        <f t="shared" si="2"/>
        <v>472</v>
      </c>
      <c r="Q17" t="str">
        <f>IFERROR(VLOOKUP(A17,'Bowlers 20'!$A$1:$O$51,1,0),"NA")</f>
        <v>NA</v>
      </c>
      <c r="T17" s="2"/>
      <c r="U17" s="3"/>
    </row>
    <row r="18" spans="1:21" x14ac:dyDescent="0.25">
      <c r="A18" t="s">
        <v>78</v>
      </c>
      <c r="B18" t="s">
        <v>68</v>
      </c>
      <c r="C18">
        <v>14</v>
      </c>
      <c r="D18">
        <v>14</v>
      </c>
      <c r="E18">
        <v>0</v>
      </c>
      <c r="F18">
        <v>352</v>
      </c>
      <c r="G18">
        <v>87</v>
      </c>
      <c r="H18">
        <v>0</v>
      </c>
      <c r="I18">
        <v>3</v>
      </c>
      <c r="J18">
        <v>25.14</v>
      </c>
      <c r="K18">
        <v>138.58000000000001</v>
      </c>
      <c r="L18">
        <v>43</v>
      </c>
      <c r="M18">
        <v>12</v>
      </c>
      <c r="N18">
        <f t="shared" si="0"/>
        <v>443</v>
      </c>
      <c r="O18" t="str">
        <f t="shared" si="1"/>
        <v>NA</v>
      </c>
      <c r="P18">
        <f t="shared" si="2"/>
        <v>443</v>
      </c>
      <c r="Q18" t="str">
        <f>IFERROR(VLOOKUP(A18,'Bowlers 20'!$A$1:$O$51,1,0),"NA")</f>
        <v>NA</v>
      </c>
      <c r="T18" s="2"/>
      <c r="U18" s="3"/>
    </row>
    <row r="19" spans="1:21" x14ac:dyDescent="0.25">
      <c r="A19" t="s">
        <v>76</v>
      </c>
      <c r="B19" t="s">
        <v>49</v>
      </c>
      <c r="C19">
        <v>14</v>
      </c>
      <c r="D19">
        <v>14</v>
      </c>
      <c r="E19">
        <v>4</v>
      </c>
      <c r="F19">
        <v>353</v>
      </c>
      <c r="G19">
        <v>77</v>
      </c>
      <c r="H19">
        <v>0</v>
      </c>
      <c r="I19">
        <v>2</v>
      </c>
      <c r="J19">
        <v>35.299999999999997</v>
      </c>
      <c r="K19">
        <v>169.71</v>
      </c>
      <c r="L19">
        <v>23</v>
      </c>
      <c r="M19">
        <v>25</v>
      </c>
      <c r="N19">
        <f t="shared" si="0"/>
        <v>442</v>
      </c>
      <c r="O19" t="str">
        <f t="shared" si="1"/>
        <v>NA</v>
      </c>
      <c r="P19">
        <f t="shared" si="2"/>
        <v>442</v>
      </c>
      <c r="Q19" t="str">
        <f>IFERROR(VLOOKUP(A19,'Bowlers 20'!$A$1:$O$51,1,0),"NA")</f>
        <v>NA</v>
      </c>
      <c r="T19" s="2"/>
      <c r="U19" s="3"/>
    </row>
    <row r="20" spans="1:21" x14ac:dyDescent="0.25">
      <c r="A20" t="s">
        <v>77</v>
      </c>
      <c r="B20" t="s">
        <v>52</v>
      </c>
      <c r="C20">
        <v>17</v>
      </c>
      <c r="D20">
        <v>17</v>
      </c>
      <c r="E20">
        <v>3</v>
      </c>
      <c r="F20">
        <v>352</v>
      </c>
      <c r="G20">
        <v>65</v>
      </c>
      <c r="H20">
        <v>0</v>
      </c>
      <c r="I20">
        <v>3</v>
      </c>
      <c r="J20">
        <v>25.14</v>
      </c>
      <c r="K20">
        <v>148.52000000000001</v>
      </c>
      <c r="L20">
        <v>31</v>
      </c>
      <c r="M20">
        <v>16</v>
      </c>
      <c r="N20">
        <f t="shared" si="0"/>
        <v>439</v>
      </c>
      <c r="O20" t="str">
        <f t="shared" si="1"/>
        <v>NA</v>
      </c>
      <c r="P20">
        <f t="shared" si="2"/>
        <v>439</v>
      </c>
      <c r="Q20" t="str">
        <f>IFERROR(VLOOKUP(A20,'Bowlers 20'!$A$1:$O$51,1,0),"NA")</f>
        <v>M P Stoinis</v>
      </c>
      <c r="T20" s="2"/>
      <c r="U20" s="3"/>
    </row>
    <row r="21" spans="1:21" x14ac:dyDescent="0.25">
      <c r="A21" t="s">
        <v>79</v>
      </c>
      <c r="B21" t="s">
        <v>55</v>
      </c>
      <c r="C21">
        <v>11</v>
      </c>
      <c r="D21">
        <v>11</v>
      </c>
      <c r="E21">
        <v>0</v>
      </c>
      <c r="F21">
        <v>345</v>
      </c>
      <c r="G21">
        <v>97</v>
      </c>
      <c r="H21">
        <v>0</v>
      </c>
      <c r="I21">
        <v>3</v>
      </c>
      <c r="J21">
        <v>31.36</v>
      </c>
      <c r="K21">
        <v>126.84</v>
      </c>
      <c r="L21">
        <v>31</v>
      </c>
      <c r="M21">
        <v>13</v>
      </c>
      <c r="N21">
        <f t="shared" si="0"/>
        <v>426</v>
      </c>
      <c r="O21" t="str">
        <f t="shared" si="1"/>
        <v>NA</v>
      </c>
      <c r="P21">
        <f t="shared" si="2"/>
        <v>426</v>
      </c>
      <c r="Q21" t="str">
        <f>IFERROR(VLOOKUP(A21,'Bowlers 20'!$A$1:$O$51,1,0),"NA")</f>
        <v>NA</v>
      </c>
      <c r="T21" s="2"/>
      <c r="U21" s="3"/>
    </row>
    <row r="22" spans="1:21" x14ac:dyDescent="0.25">
      <c r="A22" t="s">
        <v>75</v>
      </c>
      <c r="B22" t="s">
        <v>66</v>
      </c>
      <c r="C22">
        <v>12</v>
      </c>
      <c r="D22">
        <v>11</v>
      </c>
      <c r="E22">
        <v>2</v>
      </c>
      <c r="F22">
        <v>359</v>
      </c>
      <c r="G22">
        <v>71</v>
      </c>
      <c r="H22">
        <v>0</v>
      </c>
      <c r="I22">
        <v>1</v>
      </c>
      <c r="J22">
        <v>39.89</v>
      </c>
      <c r="K22">
        <v>127.3</v>
      </c>
      <c r="L22">
        <v>30</v>
      </c>
      <c r="M22">
        <v>12</v>
      </c>
      <c r="N22">
        <f t="shared" si="0"/>
        <v>421</v>
      </c>
      <c r="O22" t="str">
        <f t="shared" si="1"/>
        <v>NA</v>
      </c>
      <c r="P22">
        <f t="shared" si="2"/>
        <v>421</v>
      </c>
      <c r="Q22" t="str">
        <f>IFERROR(VLOOKUP(A22,'Bowlers 20'!$A$1:$O$51,1,0),"NA")</f>
        <v>NA</v>
      </c>
      <c r="T22" s="2"/>
      <c r="U22" s="3"/>
    </row>
    <row r="23" spans="1:21" x14ac:dyDescent="0.25">
      <c r="A23" t="s">
        <v>81</v>
      </c>
      <c r="B23" t="s">
        <v>58</v>
      </c>
      <c r="C23">
        <v>12</v>
      </c>
      <c r="D23">
        <v>12</v>
      </c>
      <c r="E23">
        <v>0</v>
      </c>
      <c r="F23">
        <v>332</v>
      </c>
      <c r="G23">
        <v>80</v>
      </c>
      <c r="H23">
        <v>0</v>
      </c>
      <c r="I23">
        <v>3</v>
      </c>
      <c r="J23">
        <v>27.67</v>
      </c>
      <c r="K23">
        <v>127.69</v>
      </c>
      <c r="L23">
        <v>27</v>
      </c>
      <c r="M23">
        <v>19</v>
      </c>
      <c r="N23">
        <f t="shared" si="0"/>
        <v>421</v>
      </c>
      <c r="O23" t="str">
        <f t="shared" si="1"/>
        <v>NA</v>
      </c>
      <c r="P23">
        <f t="shared" si="2"/>
        <v>421</v>
      </c>
      <c r="Q23" t="str">
        <f>IFERROR(VLOOKUP(A23,'Bowlers 20'!$A$1:$O$51,1,0),"NA")</f>
        <v>NA</v>
      </c>
      <c r="T23" s="2"/>
      <c r="U23" s="3"/>
    </row>
    <row r="24" spans="1:21" x14ac:dyDescent="0.25">
      <c r="A24" t="s">
        <v>82</v>
      </c>
      <c r="B24" t="s">
        <v>74</v>
      </c>
      <c r="C24">
        <v>13</v>
      </c>
      <c r="D24">
        <v>12</v>
      </c>
      <c r="E24">
        <v>2</v>
      </c>
      <c r="F24">
        <v>328</v>
      </c>
      <c r="G24">
        <v>70</v>
      </c>
      <c r="H24">
        <v>0</v>
      </c>
      <c r="I24">
        <v>2</v>
      </c>
      <c r="J24">
        <v>32.799999999999997</v>
      </c>
      <c r="K24">
        <v>144.49</v>
      </c>
      <c r="L24">
        <v>27</v>
      </c>
      <c r="M24">
        <v>16</v>
      </c>
      <c r="N24">
        <f t="shared" si="0"/>
        <v>403</v>
      </c>
      <c r="O24" t="str">
        <f t="shared" si="1"/>
        <v>NA</v>
      </c>
      <c r="P24">
        <f t="shared" si="2"/>
        <v>403</v>
      </c>
      <c r="Q24" t="str">
        <f>IFERROR(VLOOKUP(A24,'Bowlers 20'!$A$1:$O$51,1,0),"NA")</f>
        <v>NA</v>
      </c>
      <c r="T24" s="2"/>
      <c r="U24" s="3"/>
    </row>
    <row r="25" spans="1:21" x14ac:dyDescent="0.25">
      <c r="A25" t="s">
        <v>80</v>
      </c>
      <c r="B25" t="s">
        <v>52</v>
      </c>
      <c r="C25">
        <v>14</v>
      </c>
      <c r="D25">
        <v>14</v>
      </c>
      <c r="E25">
        <v>3</v>
      </c>
      <c r="F25">
        <v>343</v>
      </c>
      <c r="G25">
        <v>56</v>
      </c>
      <c r="H25">
        <v>0</v>
      </c>
      <c r="I25">
        <v>1</v>
      </c>
      <c r="J25">
        <v>31.18</v>
      </c>
      <c r="K25">
        <v>113.95</v>
      </c>
      <c r="L25">
        <v>31</v>
      </c>
      <c r="M25">
        <v>9</v>
      </c>
      <c r="N25">
        <f t="shared" si="0"/>
        <v>400</v>
      </c>
      <c r="O25" t="str">
        <f t="shared" si="1"/>
        <v>NA</v>
      </c>
      <c r="P25">
        <f t="shared" si="2"/>
        <v>400</v>
      </c>
      <c r="Q25" t="str">
        <f>IFERROR(VLOOKUP(A25,'Bowlers 20'!$A$1:$O$51,1,0),"NA")</f>
        <v>NA</v>
      </c>
      <c r="T25" s="2"/>
      <c r="U25" s="3"/>
    </row>
    <row r="26" spans="1:21" x14ac:dyDescent="0.25">
      <c r="A26" t="s">
        <v>83</v>
      </c>
      <c r="B26" t="s">
        <v>55</v>
      </c>
      <c r="C26">
        <v>12</v>
      </c>
      <c r="D26">
        <v>11</v>
      </c>
      <c r="E26">
        <v>4</v>
      </c>
      <c r="F26">
        <v>317</v>
      </c>
      <c r="G26">
        <v>67</v>
      </c>
      <c r="H26">
        <v>0</v>
      </c>
      <c r="I26">
        <v>3</v>
      </c>
      <c r="J26">
        <v>45.29</v>
      </c>
      <c r="K26">
        <v>133.76</v>
      </c>
      <c r="L26">
        <v>26</v>
      </c>
      <c r="M26">
        <v>10</v>
      </c>
      <c r="N26">
        <f t="shared" si="0"/>
        <v>387</v>
      </c>
      <c r="O26" t="str">
        <f t="shared" si="1"/>
        <v>NA</v>
      </c>
      <c r="P26">
        <f t="shared" si="2"/>
        <v>387</v>
      </c>
      <c r="Q26" t="str">
        <f>IFERROR(VLOOKUP(A26,'Bowlers 20'!$A$1:$O$51,1,0),"NA")</f>
        <v>NA</v>
      </c>
      <c r="T26" s="2"/>
      <c r="U26" s="3"/>
    </row>
    <row r="27" spans="1:21" x14ac:dyDescent="0.25">
      <c r="A27" t="s">
        <v>84</v>
      </c>
      <c r="B27" t="s">
        <v>74</v>
      </c>
      <c r="C27">
        <v>14</v>
      </c>
      <c r="D27">
        <v>14</v>
      </c>
      <c r="E27">
        <v>2</v>
      </c>
      <c r="F27">
        <v>311</v>
      </c>
      <c r="G27">
        <v>69</v>
      </c>
      <c r="H27">
        <v>0</v>
      </c>
      <c r="I27">
        <v>3</v>
      </c>
      <c r="J27">
        <v>25.92</v>
      </c>
      <c r="K27">
        <v>131.22</v>
      </c>
      <c r="L27">
        <v>32</v>
      </c>
      <c r="M27">
        <v>9</v>
      </c>
      <c r="N27">
        <f t="shared" si="0"/>
        <v>385</v>
      </c>
      <c r="O27" t="str">
        <f t="shared" si="1"/>
        <v>NA</v>
      </c>
      <c r="P27">
        <f t="shared" si="2"/>
        <v>385</v>
      </c>
      <c r="Q27" t="str">
        <f>IFERROR(VLOOKUP(A27,'Bowlers 20'!$A$1:$O$51,1,0),"NA")</f>
        <v>NA</v>
      </c>
      <c r="T27" s="2"/>
      <c r="U27" s="3"/>
    </row>
    <row r="28" spans="1:21" x14ac:dyDescent="0.25">
      <c r="A28" t="s">
        <v>85</v>
      </c>
      <c r="B28" t="s">
        <v>66</v>
      </c>
      <c r="C28">
        <v>11</v>
      </c>
      <c r="D28">
        <v>11</v>
      </c>
      <c r="E28">
        <v>1</v>
      </c>
      <c r="F28">
        <v>299</v>
      </c>
      <c r="G28">
        <v>83</v>
      </c>
      <c r="H28">
        <v>0</v>
      </c>
      <c r="I28">
        <v>2</v>
      </c>
      <c r="J28">
        <v>29.9</v>
      </c>
      <c r="K28">
        <v>121.05</v>
      </c>
      <c r="L28">
        <v>33</v>
      </c>
      <c r="M28">
        <v>13</v>
      </c>
      <c r="N28">
        <f t="shared" si="0"/>
        <v>374</v>
      </c>
      <c r="O28" t="str">
        <f t="shared" si="1"/>
        <v>NA</v>
      </c>
      <c r="P28">
        <f t="shared" si="2"/>
        <v>374</v>
      </c>
      <c r="Q28" t="str">
        <f>IFERROR(VLOOKUP(A28,'Bowlers 20'!$A$1:$O$51,1,0),"NA")</f>
        <v>NA</v>
      </c>
      <c r="T28" s="2"/>
      <c r="U28" s="3"/>
    </row>
    <row r="29" spans="1:21" x14ac:dyDescent="0.25">
      <c r="A29" t="s">
        <v>86</v>
      </c>
      <c r="B29" t="s">
        <v>49</v>
      </c>
      <c r="C29">
        <v>7</v>
      </c>
      <c r="D29">
        <v>7</v>
      </c>
      <c r="E29">
        <v>0</v>
      </c>
      <c r="F29">
        <v>288</v>
      </c>
      <c r="G29">
        <v>99</v>
      </c>
      <c r="H29">
        <v>0</v>
      </c>
      <c r="I29">
        <v>3</v>
      </c>
      <c r="J29">
        <v>41.14</v>
      </c>
      <c r="K29">
        <v>137.13999999999999</v>
      </c>
      <c r="L29">
        <v>15</v>
      </c>
      <c r="M29">
        <v>23</v>
      </c>
      <c r="N29">
        <f t="shared" si="0"/>
        <v>373</v>
      </c>
      <c r="O29" t="str">
        <f t="shared" si="1"/>
        <v>NA</v>
      </c>
      <c r="P29">
        <f t="shared" si="2"/>
        <v>373</v>
      </c>
      <c r="Q29" t="str">
        <f>IFERROR(VLOOKUP(A29,'Bowlers 20'!$A$1:$O$51,1,0),"NA")</f>
        <v>NA</v>
      </c>
      <c r="T29" s="2"/>
      <c r="U29" s="3"/>
    </row>
    <row r="30" spans="1:21" x14ac:dyDescent="0.25">
      <c r="A30" t="s">
        <v>87</v>
      </c>
      <c r="B30" t="s">
        <v>74</v>
      </c>
      <c r="C30">
        <v>8</v>
      </c>
      <c r="D30">
        <v>8</v>
      </c>
      <c r="E30">
        <v>1</v>
      </c>
      <c r="F30">
        <v>285</v>
      </c>
      <c r="G30" t="s">
        <v>88</v>
      </c>
      <c r="H30">
        <v>1</v>
      </c>
      <c r="I30">
        <v>1</v>
      </c>
      <c r="J30">
        <v>40.71</v>
      </c>
      <c r="K30">
        <v>142.5</v>
      </c>
      <c r="L30">
        <v>36</v>
      </c>
      <c r="M30">
        <v>7</v>
      </c>
      <c r="N30">
        <f t="shared" si="0"/>
        <v>359</v>
      </c>
      <c r="O30" t="str">
        <f t="shared" si="1"/>
        <v>NA</v>
      </c>
      <c r="P30">
        <f t="shared" si="2"/>
        <v>359</v>
      </c>
      <c r="Q30" t="str">
        <f>IFERROR(VLOOKUP(A30,'Bowlers 20'!$A$1:$O$51,1,0),"NA")</f>
        <v>NA</v>
      </c>
      <c r="T30" s="2"/>
      <c r="U30" s="3"/>
    </row>
    <row r="31" spans="1:21" x14ac:dyDescent="0.25">
      <c r="A31" t="s">
        <v>89</v>
      </c>
      <c r="B31" t="s">
        <v>58</v>
      </c>
      <c r="C31">
        <v>14</v>
      </c>
      <c r="D31">
        <v>13</v>
      </c>
      <c r="E31">
        <v>5</v>
      </c>
      <c r="F31">
        <v>281</v>
      </c>
      <c r="G31">
        <v>60</v>
      </c>
      <c r="H31">
        <v>0</v>
      </c>
      <c r="I31">
        <v>1</v>
      </c>
      <c r="J31">
        <v>35.130000000000003</v>
      </c>
      <c r="K31">
        <v>178.98</v>
      </c>
      <c r="L31">
        <v>14</v>
      </c>
      <c r="M31">
        <v>25</v>
      </c>
      <c r="N31">
        <f t="shared" si="0"/>
        <v>353</v>
      </c>
      <c r="O31" t="str">
        <f t="shared" si="1"/>
        <v>NA</v>
      </c>
      <c r="P31">
        <f t="shared" si="2"/>
        <v>353</v>
      </c>
      <c r="Q31" t="str">
        <f>IFERROR(VLOOKUP(A31,'Bowlers 20'!$A$1:$O$51,1,0),"NA")</f>
        <v>NA</v>
      </c>
      <c r="T31" s="2"/>
      <c r="U31" s="3"/>
    </row>
    <row r="32" spans="1:21" x14ac:dyDescent="0.25">
      <c r="A32" t="s">
        <v>90</v>
      </c>
      <c r="B32" t="s">
        <v>58</v>
      </c>
      <c r="C32">
        <v>16</v>
      </c>
      <c r="D32">
        <v>12</v>
      </c>
      <c r="E32">
        <v>7</v>
      </c>
      <c r="F32">
        <v>268</v>
      </c>
      <c r="G32">
        <v>60</v>
      </c>
      <c r="H32">
        <v>0</v>
      </c>
      <c r="I32">
        <v>1</v>
      </c>
      <c r="J32">
        <v>53.6</v>
      </c>
      <c r="K32">
        <v>191.43</v>
      </c>
      <c r="L32">
        <v>15</v>
      </c>
      <c r="M32">
        <v>22</v>
      </c>
      <c r="N32">
        <f t="shared" si="0"/>
        <v>335</v>
      </c>
      <c r="O32" t="str">
        <f t="shared" si="1"/>
        <v>NA</v>
      </c>
      <c r="P32">
        <f t="shared" si="2"/>
        <v>335</v>
      </c>
      <c r="Q32" t="str">
        <f>IFERROR(VLOOKUP(A32,'Bowlers 20'!$A$1:$O$51,1,0),"NA")</f>
        <v>NA</v>
      </c>
      <c r="T32" s="2"/>
      <c r="U32" s="3"/>
    </row>
    <row r="33" spans="1:21" x14ac:dyDescent="0.25">
      <c r="A33" t="s">
        <v>91</v>
      </c>
      <c r="B33" t="s">
        <v>62</v>
      </c>
      <c r="C33">
        <v>12</v>
      </c>
      <c r="D33">
        <v>12</v>
      </c>
      <c r="E33">
        <v>0</v>
      </c>
      <c r="F33">
        <v>268</v>
      </c>
      <c r="G33">
        <v>52</v>
      </c>
      <c r="H33">
        <v>0</v>
      </c>
      <c r="I33">
        <v>1</v>
      </c>
      <c r="J33">
        <v>22.33</v>
      </c>
      <c r="K33">
        <v>111.2</v>
      </c>
      <c r="L33">
        <v>28</v>
      </c>
      <c r="M33">
        <v>8</v>
      </c>
      <c r="N33">
        <f t="shared" si="0"/>
        <v>320</v>
      </c>
      <c r="O33" t="str">
        <f t="shared" si="1"/>
        <v>NA</v>
      </c>
      <c r="P33">
        <f t="shared" si="2"/>
        <v>320</v>
      </c>
      <c r="Q33" t="str">
        <f>IFERROR(VLOOKUP(A33,'Bowlers 20'!$A$1:$O$51,1,0),"NA")</f>
        <v>NA</v>
      </c>
      <c r="T33" s="2"/>
      <c r="U33" s="3"/>
    </row>
    <row r="34" spans="1:21" x14ac:dyDescent="0.25">
      <c r="A34" t="s">
        <v>92</v>
      </c>
      <c r="B34" t="s">
        <v>74</v>
      </c>
      <c r="C34">
        <v>14</v>
      </c>
      <c r="D34">
        <v>11</v>
      </c>
      <c r="E34">
        <v>5</v>
      </c>
      <c r="F34">
        <v>255</v>
      </c>
      <c r="G34">
        <v>53</v>
      </c>
      <c r="H34">
        <v>0</v>
      </c>
      <c r="I34">
        <v>1</v>
      </c>
      <c r="J34">
        <v>42.5</v>
      </c>
      <c r="K34">
        <v>139.34</v>
      </c>
      <c r="L34">
        <v>13</v>
      </c>
      <c r="M34">
        <v>17</v>
      </c>
      <c r="N34">
        <f t="shared" ref="N34:N51" si="3">((F34*1)+(H34*16) +(I34*8)+(L34*1)+(M34*2))</f>
        <v>310</v>
      </c>
      <c r="O34" t="str">
        <f t="shared" ref="O34:O51" si="4">IF(AND(K34&gt;=60,K34&lt;=70),-1,IF(AND(K34&gt;=50,K34&lt;=59.9),-4,IF(K34&lt;50,-6,"NA")))</f>
        <v>NA</v>
      </c>
      <c r="P34">
        <f t="shared" ref="P34:P51" si="5">IFERROR(N34+O34,N34)</f>
        <v>310</v>
      </c>
      <c r="Q34" t="str">
        <f>IFERROR(VLOOKUP(A34,'Bowlers 20'!$A$1:$O$51,1,0),"NA")</f>
        <v>R Tewatia</v>
      </c>
      <c r="T34" s="2"/>
      <c r="U34" s="3"/>
    </row>
    <row r="35" spans="1:21" x14ac:dyDescent="0.25">
      <c r="A35" t="s">
        <v>95</v>
      </c>
      <c r="B35" t="s">
        <v>52</v>
      </c>
      <c r="C35">
        <v>13</v>
      </c>
      <c r="D35">
        <v>13</v>
      </c>
      <c r="E35">
        <v>0</v>
      </c>
      <c r="F35">
        <v>228</v>
      </c>
      <c r="G35">
        <v>66</v>
      </c>
      <c r="H35">
        <v>0</v>
      </c>
      <c r="I35">
        <v>2</v>
      </c>
      <c r="J35">
        <v>17.54</v>
      </c>
      <c r="K35">
        <v>136.53</v>
      </c>
      <c r="L35">
        <v>27</v>
      </c>
      <c r="M35">
        <v>8</v>
      </c>
      <c r="N35">
        <f t="shared" si="3"/>
        <v>287</v>
      </c>
      <c r="O35" t="str">
        <f t="shared" si="4"/>
        <v>NA</v>
      </c>
      <c r="P35">
        <f t="shared" si="5"/>
        <v>287</v>
      </c>
      <c r="Q35" t="str">
        <f>IFERROR(VLOOKUP(A35,'Bowlers 20'!$A$1:$O$51,1,0),"NA")</f>
        <v>NA</v>
      </c>
      <c r="T35" s="2"/>
      <c r="U35" s="3"/>
    </row>
    <row r="36" spans="1:21" x14ac:dyDescent="0.25">
      <c r="A36" t="s">
        <v>93</v>
      </c>
      <c r="B36" t="s">
        <v>66</v>
      </c>
      <c r="C36">
        <v>14</v>
      </c>
      <c r="D36">
        <v>11</v>
      </c>
      <c r="E36">
        <v>6</v>
      </c>
      <c r="F36">
        <v>232</v>
      </c>
      <c r="G36">
        <v>50</v>
      </c>
      <c r="H36">
        <v>0</v>
      </c>
      <c r="I36">
        <v>1</v>
      </c>
      <c r="J36">
        <v>46.4</v>
      </c>
      <c r="K36">
        <v>171.85</v>
      </c>
      <c r="L36">
        <v>22</v>
      </c>
      <c r="M36">
        <v>11</v>
      </c>
      <c r="N36">
        <f t="shared" si="3"/>
        <v>284</v>
      </c>
      <c r="O36" t="str">
        <f t="shared" si="4"/>
        <v>NA</v>
      </c>
      <c r="P36">
        <f t="shared" si="5"/>
        <v>284</v>
      </c>
      <c r="Q36" t="str">
        <f>IFERROR(VLOOKUP(A36,'Bowlers 20'!$A$1:$O$51,1,0),"NA")</f>
        <v>R A Jadeja</v>
      </c>
      <c r="T36" s="2"/>
      <c r="U36" s="3"/>
    </row>
    <row r="37" spans="1:21" x14ac:dyDescent="0.25">
      <c r="A37" t="s">
        <v>94</v>
      </c>
      <c r="B37" t="s">
        <v>68</v>
      </c>
      <c r="C37">
        <v>11</v>
      </c>
      <c r="D37">
        <v>11</v>
      </c>
      <c r="E37">
        <v>1</v>
      </c>
      <c r="F37">
        <v>230</v>
      </c>
      <c r="G37">
        <v>81</v>
      </c>
      <c r="H37">
        <v>0</v>
      </c>
      <c r="I37">
        <v>1</v>
      </c>
      <c r="J37">
        <v>23</v>
      </c>
      <c r="K37">
        <v>127.07</v>
      </c>
      <c r="L37">
        <v>21</v>
      </c>
      <c r="M37">
        <v>10</v>
      </c>
      <c r="N37">
        <f t="shared" si="3"/>
        <v>279</v>
      </c>
      <c r="O37" t="str">
        <f t="shared" si="4"/>
        <v>NA</v>
      </c>
      <c r="P37">
        <f t="shared" si="5"/>
        <v>279</v>
      </c>
      <c r="Q37" t="str">
        <f>IFERROR(VLOOKUP(A37,'Bowlers 20'!$A$1:$O$51,1,0),"NA")</f>
        <v>NA</v>
      </c>
      <c r="T37" s="2"/>
      <c r="U37" s="3"/>
    </row>
    <row r="38" spans="1:21" x14ac:dyDescent="0.25">
      <c r="A38" t="s">
        <v>96</v>
      </c>
      <c r="B38" t="s">
        <v>55</v>
      </c>
      <c r="C38">
        <v>4</v>
      </c>
      <c r="D38">
        <v>4</v>
      </c>
      <c r="E38">
        <v>1</v>
      </c>
      <c r="F38">
        <v>214</v>
      </c>
      <c r="G38">
        <v>87</v>
      </c>
      <c r="H38">
        <v>0</v>
      </c>
      <c r="I38">
        <v>2</v>
      </c>
      <c r="J38">
        <v>71.33</v>
      </c>
      <c r="K38">
        <v>139.87</v>
      </c>
      <c r="L38">
        <v>24</v>
      </c>
      <c r="M38">
        <v>5</v>
      </c>
      <c r="N38">
        <f t="shared" si="3"/>
        <v>264</v>
      </c>
      <c r="O38" t="str">
        <f t="shared" si="4"/>
        <v>NA</v>
      </c>
      <c r="P38">
        <f t="shared" si="5"/>
        <v>264</v>
      </c>
      <c r="Q38" t="str">
        <f>IFERROR(VLOOKUP(A38,'Bowlers 20'!$A$1:$O$51,1,0),"NA")</f>
        <v>NA</v>
      </c>
      <c r="T38" s="2"/>
      <c r="U38" s="3"/>
    </row>
    <row r="39" spans="1:21" x14ac:dyDescent="0.25">
      <c r="A39" t="s">
        <v>97</v>
      </c>
      <c r="B39" t="s">
        <v>66</v>
      </c>
      <c r="C39">
        <v>6</v>
      </c>
      <c r="D39">
        <v>6</v>
      </c>
      <c r="E39">
        <v>2</v>
      </c>
      <c r="F39">
        <v>204</v>
      </c>
      <c r="G39">
        <v>72</v>
      </c>
      <c r="H39">
        <v>0</v>
      </c>
      <c r="I39">
        <v>3</v>
      </c>
      <c r="J39">
        <v>51</v>
      </c>
      <c r="K39">
        <v>120.71</v>
      </c>
      <c r="L39">
        <v>16</v>
      </c>
      <c r="M39">
        <v>6</v>
      </c>
      <c r="N39">
        <f t="shared" si="3"/>
        <v>256</v>
      </c>
      <c r="O39" t="str">
        <f t="shared" si="4"/>
        <v>NA</v>
      </c>
      <c r="P39">
        <f t="shared" si="5"/>
        <v>256</v>
      </c>
      <c r="Q39" t="str">
        <f>IFERROR(VLOOKUP(A39,'Bowlers 20'!$A$1:$O$51,1,0),"NA")</f>
        <v>NA</v>
      </c>
      <c r="T39" s="2"/>
      <c r="U39" s="3"/>
    </row>
    <row r="40" spans="1:21" x14ac:dyDescent="0.25">
      <c r="A40" t="s">
        <v>98</v>
      </c>
      <c r="B40" t="s">
        <v>66</v>
      </c>
      <c r="C40">
        <v>14</v>
      </c>
      <c r="D40">
        <v>12</v>
      </c>
      <c r="E40">
        <v>4</v>
      </c>
      <c r="F40">
        <v>200</v>
      </c>
      <c r="G40">
        <v>47</v>
      </c>
      <c r="H40">
        <v>0</v>
      </c>
      <c r="I40">
        <v>0</v>
      </c>
      <c r="J40">
        <v>25</v>
      </c>
      <c r="K40">
        <v>116.28</v>
      </c>
      <c r="L40">
        <v>16</v>
      </c>
      <c r="M40">
        <v>7</v>
      </c>
      <c r="N40">
        <f t="shared" si="3"/>
        <v>230</v>
      </c>
      <c r="O40" t="str">
        <f t="shared" si="4"/>
        <v>NA</v>
      </c>
      <c r="P40">
        <f t="shared" si="5"/>
        <v>230</v>
      </c>
      <c r="Q40" t="str">
        <f>IFERROR(VLOOKUP(A40,'Bowlers 20'!$A$1:$O$51,1,0),"NA")</f>
        <v>NA</v>
      </c>
      <c r="T40" s="2"/>
      <c r="U40" s="3"/>
    </row>
    <row r="41" spans="1:21" x14ac:dyDescent="0.25">
      <c r="A41" t="s">
        <v>100</v>
      </c>
      <c r="B41" t="s">
        <v>66</v>
      </c>
      <c r="C41">
        <v>14</v>
      </c>
      <c r="D41">
        <v>11</v>
      </c>
      <c r="E41">
        <v>3</v>
      </c>
      <c r="F41">
        <v>186</v>
      </c>
      <c r="G41">
        <v>52</v>
      </c>
      <c r="H41">
        <v>0</v>
      </c>
      <c r="I41">
        <v>1</v>
      </c>
      <c r="J41">
        <v>23.25</v>
      </c>
      <c r="K41">
        <v>131.91</v>
      </c>
      <c r="L41">
        <v>12</v>
      </c>
      <c r="M41">
        <v>12</v>
      </c>
      <c r="N41">
        <f t="shared" si="3"/>
        <v>230</v>
      </c>
      <c r="O41" t="str">
        <f t="shared" si="4"/>
        <v>NA</v>
      </c>
      <c r="P41">
        <f t="shared" si="5"/>
        <v>230</v>
      </c>
      <c r="Q41" t="str">
        <f>IFERROR(VLOOKUP(A41,'Bowlers 20'!$A$1:$O$51,1,0),"NA")</f>
        <v>S M Curran</v>
      </c>
      <c r="T41" s="2"/>
      <c r="U41" s="3"/>
    </row>
    <row r="42" spans="1:21" x14ac:dyDescent="0.25">
      <c r="A42" t="s">
        <v>99</v>
      </c>
      <c r="B42" t="s">
        <v>74</v>
      </c>
      <c r="C42">
        <v>12</v>
      </c>
      <c r="D42">
        <v>12</v>
      </c>
      <c r="E42">
        <v>0</v>
      </c>
      <c r="F42">
        <v>196</v>
      </c>
      <c r="G42">
        <v>41</v>
      </c>
      <c r="H42">
        <v>0</v>
      </c>
      <c r="I42">
        <v>0</v>
      </c>
      <c r="J42">
        <v>16.329999999999998</v>
      </c>
      <c r="K42">
        <v>119.51</v>
      </c>
      <c r="L42">
        <v>19</v>
      </c>
      <c r="M42">
        <v>7</v>
      </c>
      <c r="N42">
        <f t="shared" si="3"/>
        <v>229</v>
      </c>
      <c r="O42" t="str">
        <f t="shared" si="4"/>
        <v>NA</v>
      </c>
      <c r="P42">
        <f t="shared" si="5"/>
        <v>229</v>
      </c>
      <c r="Q42" t="str">
        <f>IFERROR(VLOOKUP(A42,'Bowlers 20'!$A$1:$O$51,1,0),"NA")</f>
        <v>NA</v>
      </c>
      <c r="T42" s="2"/>
      <c r="U42" s="3"/>
    </row>
    <row r="43" spans="1:21" x14ac:dyDescent="0.25">
      <c r="A43" t="s">
        <v>101</v>
      </c>
      <c r="B43" t="s">
        <v>52</v>
      </c>
      <c r="C43">
        <v>12</v>
      </c>
      <c r="D43">
        <v>11</v>
      </c>
      <c r="E43">
        <v>3</v>
      </c>
      <c r="F43">
        <v>185</v>
      </c>
      <c r="G43">
        <v>45</v>
      </c>
      <c r="H43">
        <v>0</v>
      </c>
      <c r="I43">
        <v>0</v>
      </c>
      <c r="J43">
        <v>23.13</v>
      </c>
      <c r="K43">
        <v>148</v>
      </c>
      <c r="L43">
        <v>11</v>
      </c>
      <c r="M43">
        <v>12</v>
      </c>
      <c r="N43">
        <f t="shared" si="3"/>
        <v>220</v>
      </c>
      <c r="O43" t="str">
        <f t="shared" si="4"/>
        <v>NA</v>
      </c>
      <c r="P43">
        <f t="shared" si="5"/>
        <v>220</v>
      </c>
      <c r="Q43" t="str">
        <f>IFERROR(VLOOKUP(A43,'Bowlers 20'!$A$1:$O$51,1,0),"NA")</f>
        <v>NA</v>
      </c>
      <c r="T43" s="2"/>
      <c r="U43" s="3"/>
    </row>
    <row r="44" spans="1:21" x14ac:dyDescent="0.25">
      <c r="A44" t="s">
        <v>102</v>
      </c>
      <c r="B44" t="s">
        <v>68</v>
      </c>
      <c r="C44">
        <v>14</v>
      </c>
      <c r="D44">
        <v>14</v>
      </c>
      <c r="E44">
        <v>2</v>
      </c>
      <c r="F44">
        <v>169</v>
      </c>
      <c r="G44">
        <v>58</v>
      </c>
      <c r="H44">
        <v>0</v>
      </c>
      <c r="I44">
        <v>1</v>
      </c>
      <c r="J44">
        <v>14.08</v>
      </c>
      <c r="K44">
        <v>126.12</v>
      </c>
      <c r="L44">
        <v>20</v>
      </c>
      <c r="M44">
        <v>4</v>
      </c>
      <c r="N44">
        <f t="shared" si="3"/>
        <v>205</v>
      </c>
      <c r="O44" t="str">
        <f t="shared" si="4"/>
        <v>NA</v>
      </c>
      <c r="P44">
        <f t="shared" si="5"/>
        <v>205</v>
      </c>
      <c r="Q44" t="str">
        <f>IFERROR(VLOOKUP(A44,'Bowlers 20'!$A$1:$O$51,1,0),"NA")</f>
        <v>NA</v>
      </c>
      <c r="T44" s="2"/>
      <c r="U44" s="3"/>
    </row>
    <row r="45" spans="1:21" x14ac:dyDescent="0.25">
      <c r="A45" t="s">
        <v>103</v>
      </c>
      <c r="B45" t="s">
        <v>68</v>
      </c>
      <c r="C45">
        <v>14</v>
      </c>
      <c r="D45">
        <v>11</v>
      </c>
      <c r="E45">
        <v>4</v>
      </c>
      <c r="F45">
        <v>146</v>
      </c>
      <c r="G45">
        <v>53</v>
      </c>
      <c r="H45">
        <v>0</v>
      </c>
      <c r="I45">
        <v>1</v>
      </c>
      <c r="J45">
        <v>20.86</v>
      </c>
      <c r="K45">
        <v>128.07</v>
      </c>
      <c r="L45">
        <v>9</v>
      </c>
      <c r="M45">
        <v>8</v>
      </c>
      <c r="N45">
        <f t="shared" si="3"/>
        <v>179</v>
      </c>
      <c r="O45" t="str">
        <f t="shared" si="4"/>
        <v>NA</v>
      </c>
      <c r="P45">
        <f t="shared" si="5"/>
        <v>179</v>
      </c>
      <c r="Q45" t="str">
        <f>IFERROR(VLOOKUP(A45,'Bowlers 20'!$A$1:$O$51,1,0),"NA")</f>
        <v>P J Cummins</v>
      </c>
      <c r="T45" s="2"/>
      <c r="U45" s="3"/>
    </row>
    <row r="46" spans="1:21" x14ac:dyDescent="0.25">
      <c r="A46" t="s">
        <v>104</v>
      </c>
      <c r="B46" t="s">
        <v>55</v>
      </c>
      <c r="C46">
        <v>14</v>
      </c>
      <c r="D46">
        <v>10</v>
      </c>
      <c r="E46">
        <v>1</v>
      </c>
      <c r="F46">
        <v>133</v>
      </c>
      <c r="G46" t="s">
        <v>105</v>
      </c>
      <c r="H46">
        <v>0</v>
      </c>
      <c r="I46">
        <v>1</v>
      </c>
      <c r="J46">
        <v>14.78</v>
      </c>
      <c r="K46">
        <v>119.82</v>
      </c>
      <c r="L46">
        <v>9</v>
      </c>
      <c r="M46">
        <v>4</v>
      </c>
      <c r="N46">
        <f t="shared" si="3"/>
        <v>158</v>
      </c>
      <c r="O46" t="str">
        <f t="shared" si="4"/>
        <v>NA</v>
      </c>
      <c r="P46">
        <f t="shared" si="5"/>
        <v>158</v>
      </c>
      <c r="Q46" t="str">
        <f>IFERROR(VLOOKUP(A46,'Bowlers 20'!$A$1:$O$51,1,0),"NA")</f>
        <v>NA</v>
      </c>
      <c r="T46" s="2"/>
      <c r="U46" s="3"/>
    </row>
    <row r="47" spans="1:21" x14ac:dyDescent="0.25">
      <c r="A47" t="s">
        <v>106</v>
      </c>
      <c r="B47" t="s">
        <v>49</v>
      </c>
      <c r="C47">
        <v>7</v>
      </c>
      <c r="D47">
        <v>7</v>
      </c>
      <c r="E47">
        <v>1</v>
      </c>
      <c r="F47">
        <v>130</v>
      </c>
      <c r="G47">
        <v>66</v>
      </c>
      <c r="H47">
        <v>0</v>
      </c>
      <c r="I47">
        <v>1</v>
      </c>
      <c r="J47">
        <v>21.67</v>
      </c>
      <c r="K47">
        <v>119.27</v>
      </c>
      <c r="L47">
        <v>10</v>
      </c>
      <c r="M47">
        <v>4</v>
      </c>
      <c r="N47">
        <f t="shared" si="3"/>
        <v>156</v>
      </c>
      <c r="O47" t="str">
        <f t="shared" si="4"/>
        <v>NA</v>
      </c>
      <c r="P47">
        <f t="shared" si="5"/>
        <v>156</v>
      </c>
      <c r="Q47" t="str">
        <f>IFERROR(VLOOKUP(A47,'Bowlers 20'!$A$1:$O$51,1,0),"NA")</f>
        <v>NA</v>
      </c>
      <c r="T47" s="2"/>
      <c r="U47" s="3"/>
    </row>
    <row r="48" spans="1:21" x14ac:dyDescent="0.25">
      <c r="A48" t="s">
        <v>108</v>
      </c>
      <c r="B48" t="s">
        <v>68</v>
      </c>
      <c r="C48">
        <v>10</v>
      </c>
      <c r="D48">
        <v>9</v>
      </c>
      <c r="E48">
        <v>0</v>
      </c>
      <c r="F48">
        <v>121</v>
      </c>
      <c r="G48">
        <v>64</v>
      </c>
      <c r="H48">
        <v>0</v>
      </c>
      <c r="I48">
        <v>1</v>
      </c>
      <c r="J48">
        <v>13.44</v>
      </c>
      <c r="K48">
        <v>142.35</v>
      </c>
      <c r="L48">
        <v>10</v>
      </c>
      <c r="M48">
        <v>8</v>
      </c>
      <c r="N48">
        <f t="shared" si="3"/>
        <v>155</v>
      </c>
      <c r="O48" t="str">
        <f t="shared" si="4"/>
        <v>NA</v>
      </c>
      <c r="P48">
        <f t="shared" si="5"/>
        <v>155</v>
      </c>
      <c r="Q48" t="str">
        <f>IFERROR(VLOOKUP(A48,'Bowlers 20'!$A$1:$O$51,1,0),"NA")</f>
        <v>S P Narine</v>
      </c>
      <c r="T48" s="2"/>
      <c r="U48" s="3"/>
    </row>
    <row r="49" spans="1:21" x14ac:dyDescent="0.25">
      <c r="A49" t="s">
        <v>107</v>
      </c>
      <c r="B49" t="s">
        <v>62</v>
      </c>
      <c r="C49">
        <v>11</v>
      </c>
      <c r="D49">
        <v>9</v>
      </c>
      <c r="E49">
        <v>2</v>
      </c>
      <c r="F49">
        <v>129</v>
      </c>
      <c r="G49">
        <v>27</v>
      </c>
      <c r="H49">
        <v>0</v>
      </c>
      <c r="I49">
        <v>0</v>
      </c>
      <c r="J49">
        <v>18.43</v>
      </c>
      <c r="K49">
        <v>122.86</v>
      </c>
      <c r="L49">
        <v>5</v>
      </c>
      <c r="M49">
        <v>9</v>
      </c>
      <c r="N49">
        <f t="shared" si="3"/>
        <v>152</v>
      </c>
      <c r="O49" t="str">
        <f t="shared" si="4"/>
        <v>NA</v>
      </c>
      <c r="P49">
        <f t="shared" si="5"/>
        <v>152</v>
      </c>
      <c r="Q49" t="str">
        <f>IFERROR(VLOOKUP(A49,'Bowlers 20'!$A$1:$O$51,1,0),"NA")</f>
        <v>S Dube</v>
      </c>
      <c r="T49" s="2"/>
      <c r="U49" s="3"/>
    </row>
    <row r="50" spans="1:21" x14ac:dyDescent="0.25">
      <c r="A50" t="s">
        <v>110</v>
      </c>
      <c r="B50" t="s">
        <v>68</v>
      </c>
      <c r="C50">
        <v>10</v>
      </c>
      <c r="D50">
        <v>9</v>
      </c>
      <c r="E50">
        <v>0</v>
      </c>
      <c r="F50">
        <v>117</v>
      </c>
      <c r="G50">
        <v>25</v>
      </c>
      <c r="H50">
        <v>0</v>
      </c>
      <c r="I50">
        <v>0</v>
      </c>
      <c r="J50">
        <v>13</v>
      </c>
      <c r="K50">
        <v>144.44</v>
      </c>
      <c r="L50">
        <v>9</v>
      </c>
      <c r="M50">
        <v>9</v>
      </c>
      <c r="N50">
        <f t="shared" si="3"/>
        <v>144</v>
      </c>
      <c r="O50" t="str">
        <f t="shared" si="4"/>
        <v>NA</v>
      </c>
      <c r="P50">
        <f t="shared" si="5"/>
        <v>144</v>
      </c>
      <c r="Q50" t="str">
        <f>IFERROR(VLOOKUP(A50,'Bowlers 20'!$A$1:$O$51,1,0),"NA")</f>
        <v>A D Russell</v>
      </c>
      <c r="T50" s="2"/>
      <c r="U50" s="3"/>
    </row>
    <row r="51" spans="1:21" x14ac:dyDescent="0.25">
      <c r="A51" t="s">
        <v>109</v>
      </c>
      <c r="B51" t="s">
        <v>52</v>
      </c>
      <c r="C51">
        <v>15</v>
      </c>
      <c r="D51">
        <v>9</v>
      </c>
      <c r="E51">
        <v>1</v>
      </c>
      <c r="F51">
        <v>117</v>
      </c>
      <c r="G51">
        <v>42</v>
      </c>
      <c r="H51">
        <v>0</v>
      </c>
      <c r="I51">
        <v>0</v>
      </c>
      <c r="J51">
        <v>14.63</v>
      </c>
      <c r="K51">
        <v>137.65</v>
      </c>
      <c r="L51">
        <v>6</v>
      </c>
      <c r="M51">
        <v>8</v>
      </c>
      <c r="N51">
        <f t="shared" si="3"/>
        <v>139</v>
      </c>
      <c r="O51" t="str">
        <f t="shared" si="4"/>
        <v>NA</v>
      </c>
      <c r="P51">
        <f t="shared" si="5"/>
        <v>139</v>
      </c>
      <c r="Q51" t="str">
        <f>IFERROR(VLOOKUP(A51,'Bowlers 20'!$A$1:$O$51,1,0),"NA")</f>
        <v>A R Patel</v>
      </c>
      <c r="T51" s="2"/>
      <c r="U51" s="3"/>
    </row>
    <row r="52" spans="1:21" x14ac:dyDescent="0.25">
      <c r="T52" s="2"/>
      <c r="U52" s="3"/>
    </row>
    <row r="53" spans="1:21" x14ac:dyDescent="0.25">
      <c r="T53" s="2"/>
      <c r="U53" s="3"/>
    </row>
    <row r="54" spans="1:21" x14ac:dyDescent="0.25">
      <c r="T54" s="2"/>
      <c r="U54" s="3"/>
    </row>
    <row r="55" spans="1:21" x14ac:dyDescent="0.25">
      <c r="T55" s="2"/>
      <c r="U55" s="3"/>
    </row>
    <row r="56" spans="1:21" x14ac:dyDescent="0.25">
      <c r="T56" s="2"/>
      <c r="U56" s="3"/>
    </row>
    <row r="57" spans="1:21" x14ac:dyDescent="0.25">
      <c r="T57" s="2"/>
      <c r="U57" s="3"/>
    </row>
    <row r="58" spans="1:21" x14ac:dyDescent="0.25">
      <c r="T58" s="2"/>
      <c r="U58" s="3"/>
    </row>
  </sheetData>
  <sortState ref="A2:Q51">
    <sortCondition descending="1" ref="P1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68"/>
  <sheetViews>
    <sheetView workbookViewId="0">
      <selection activeCell="E16" sqref="E16"/>
    </sheetView>
  </sheetViews>
  <sheetFormatPr defaultRowHeight="15" x14ac:dyDescent="0.25"/>
  <cols>
    <col min="1" max="1" width="18.42578125" bestFit="1" customWidth="1"/>
    <col min="2" max="2" width="28" bestFit="1" customWidth="1"/>
    <col min="14" max="14" width="24.28515625" bestFit="1" customWidth="1"/>
    <col min="16" max="16" width="19.5703125" bestFit="1" customWidth="1"/>
  </cols>
  <sheetData>
    <row r="1" spans="1:16" ht="18.75" x14ac:dyDescent="0.3">
      <c r="A1" s="1" t="s">
        <v>35</v>
      </c>
      <c r="B1" s="1" t="s">
        <v>36</v>
      </c>
      <c r="C1" s="1" t="s">
        <v>114</v>
      </c>
      <c r="D1" s="1" t="s">
        <v>115</v>
      </c>
      <c r="E1" s="1" t="s">
        <v>116</v>
      </c>
      <c r="F1" s="1" t="s">
        <v>40</v>
      </c>
      <c r="G1" s="1" t="s">
        <v>117</v>
      </c>
      <c r="H1" s="1" t="s">
        <v>44</v>
      </c>
      <c r="I1" s="1" t="s">
        <v>118</v>
      </c>
      <c r="J1" s="1" t="s">
        <v>119</v>
      </c>
      <c r="K1" s="1" t="s">
        <v>45</v>
      </c>
      <c r="L1" s="1" t="s">
        <v>120</v>
      </c>
      <c r="M1" s="1" t="s">
        <v>238</v>
      </c>
      <c r="N1" s="1" t="s">
        <v>237</v>
      </c>
      <c r="O1" s="1" t="s">
        <v>112</v>
      </c>
      <c r="P1" s="1" t="s">
        <v>113</v>
      </c>
    </row>
    <row r="2" spans="1:16" x14ac:dyDescent="0.25">
      <c r="A2" t="s">
        <v>121</v>
      </c>
      <c r="B2" t="s">
        <v>122</v>
      </c>
      <c r="C2">
        <v>17</v>
      </c>
      <c r="D2">
        <v>65.400000000000006</v>
      </c>
      <c r="E2">
        <v>1</v>
      </c>
      <c r="F2">
        <v>548</v>
      </c>
      <c r="G2">
        <v>30</v>
      </c>
      <c r="H2">
        <v>18.27</v>
      </c>
      <c r="I2">
        <v>44675</v>
      </c>
      <c r="J2">
        <v>8.35</v>
      </c>
      <c r="K2">
        <v>13.13</v>
      </c>
      <c r="L2">
        <v>2</v>
      </c>
      <c r="M2">
        <f t="shared" ref="M2:M33" si="0">((G2*25)+(L2*8)+(E2*8))</f>
        <v>774</v>
      </c>
      <c r="N2" t="str">
        <f t="shared" ref="N2:N33" si="1">IF(J2&lt;4,6,IF(AND(J2&gt;=4,J2&lt;=4.99),4,IF(AND(J2&gt;=5,J2&lt;=6),2,IF(AND(J2&gt;=9,J2&lt;=10),-2,IF(AND(J2&gt;=10.01,J2&lt;=11),-4,IF(J2&gt;11,-6,"NA"))))))</f>
        <v>NA</v>
      </c>
      <c r="O2">
        <f t="shared" ref="O2:O33" si="2">IFERROR(M2+N2,M2)</f>
        <v>774</v>
      </c>
      <c r="P2" t="str">
        <f>IFERROR(VLOOKUP(A2,'Batsmen 20'!$A$1:$O$68,1,0),"NA")</f>
        <v>NA</v>
      </c>
    </row>
    <row r="3" spans="1:16" x14ac:dyDescent="0.25">
      <c r="A3" t="s">
        <v>123</v>
      </c>
      <c r="B3" t="s">
        <v>124</v>
      </c>
      <c r="C3">
        <v>15</v>
      </c>
      <c r="D3">
        <v>60</v>
      </c>
      <c r="E3">
        <v>2</v>
      </c>
      <c r="F3">
        <v>404</v>
      </c>
      <c r="G3">
        <v>27</v>
      </c>
      <c r="H3">
        <v>14.96</v>
      </c>
      <c r="I3">
        <v>44665</v>
      </c>
      <c r="J3">
        <v>6.73</v>
      </c>
      <c r="K3">
        <v>13.33</v>
      </c>
      <c r="L3">
        <v>2</v>
      </c>
      <c r="M3">
        <f t="shared" si="0"/>
        <v>707</v>
      </c>
      <c r="N3" t="str">
        <f t="shared" si="1"/>
        <v>NA</v>
      </c>
      <c r="O3">
        <f t="shared" si="2"/>
        <v>707</v>
      </c>
      <c r="P3" t="str">
        <f>IFERROR(VLOOKUP(A3,'Batsmen 20'!$A$1:$O$68,1,0),"NA")</f>
        <v>NA</v>
      </c>
    </row>
    <row r="4" spans="1:16" x14ac:dyDescent="0.25">
      <c r="A4" t="s">
        <v>125</v>
      </c>
      <c r="B4" t="s">
        <v>126</v>
      </c>
      <c r="C4">
        <v>15</v>
      </c>
      <c r="D4">
        <v>57.2</v>
      </c>
      <c r="E4">
        <v>3</v>
      </c>
      <c r="F4">
        <v>457</v>
      </c>
      <c r="G4">
        <v>25</v>
      </c>
      <c r="H4">
        <v>18.28</v>
      </c>
      <c r="I4">
        <v>44669</v>
      </c>
      <c r="J4">
        <v>7.97</v>
      </c>
      <c r="K4">
        <v>13.76</v>
      </c>
      <c r="L4">
        <v>1</v>
      </c>
      <c r="M4">
        <f t="shared" si="0"/>
        <v>657</v>
      </c>
      <c r="N4" t="str">
        <f t="shared" si="1"/>
        <v>NA</v>
      </c>
      <c r="O4">
        <f t="shared" si="2"/>
        <v>657</v>
      </c>
      <c r="P4" t="str">
        <f>IFERROR(VLOOKUP(A4,'Batsmen 20'!$A$1:$O$68,1,0),"NA")</f>
        <v>NA</v>
      </c>
    </row>
    <row r="5" spans="1:16" x14ac:dyDescent="0.25">
      <c r="A5" t="s">
        <v>127</v>
      </c>
      <c r="B5" t="s">
        <v>128</v>
      </c>
      <c r="C5">
        <v>16</v>
      </c>
      <c r="D5">
        <v>61</v>
      </c>
      <c r="E5">
        <v>0</v>
      </c>
      <c r="F5">
        <v>512</v>
      </c>
      <c r="G5">
        <v>22</v>
      </c>
      <c r="H5">
        <v>23.27</v>
      </c>
      <c r="I5">
        <v>12114</v>
      </c>
      <c r="J5">
        <v>8.39</v>
      </c>
      <c r="K5">
        <v>16.64</v>
      </c>
      <c r="L5">
        <v>0</v>
      </c>
      <c r="M5">
        <f t="shared" si="0"/>
        <v>550</v>
      </c>
      <c r="N5" t="str">
        <f t="shared" si="1"/>
        <v>NA</v>
      </c>
      <c r="O5">
        <f t="shared" si="2"/>
        <v>550</v>
      </c>
      <c r="P5" t="str">
        <f>IFERROR(VLOOKUP(A5,'Batsmen 20'!$A$1:$O$68,1,0),"NA")</f>
        <v>NA</v>
      </c>
    </row>
    <row r="6" spans="1:16" x14ac:dyDescent="0.25">
      <c r="A6" t="s">
        <v>129</v>
      </c>
      <c r="B6" t="s">
        <v>130</v>
      </c>
      <c r="C6">
        <v>15</v>
      </c>
      <c r="D6">
        <v>57.1</v>
      </c>
      <c r="E6">
        <v>0</v>
      </c>
      <c r="F6">
        <v>405</v>
      </c>
      <c r="G6">
        <v>21</v>
      </c>
      <c r="H6">
        <v>19.29</v>
      </c>
      <c r="I6">
        <v>44638</v>
      </c>
      <c r="J6">
        <v>7.08</v>
      </c>
      <c r="K6">
        <v>16.329999999999998</v>
      </c>
      <c r="L6">
        <v>0</v>
      </c>
      <c r="M6">
        <f t="shared" si="0"/>
        <v>525</v>
      </c>
      <c r="N6" t="str">
        <f t="shared" si="1"/>
        <v>NA</v>
      </c>
      <c r="O6">
        <f t="shared" si="2"/>
        <v>525</v>
      </c>
      <c r="P6" t="str">
        <f>IFERROR(VLOOKUP(A6,'Batsmen 20'!$A$1:$O$68,1,0),"NA")</f>
        <v>NA</v>
      </c>
    </row>
    <row r="7" spans="1:16" x14ac:dyDescent="0.25">
      <c r="A7" t="s">
        <v>135</v>
      </c>
      <c r="B7" t="s">
        <v>136</v>
      </c>
      <c r="C7">
        <v>16</v>
      </c>
      <c r="D7">
        <v>64</v>
      </c>
      <c r="E7">
        <v>1</v>
      </c>
      <c r="F7">
        <v>344</v>
      </c>
      <c r="G7">
        <v>20</v>
      </c>
      <c r="H7">
        <v>17.2</v>
      </c>
      <c r="I7">
        <v>44627</v>
      </c>
      <c r="J7">
        <v>5.38</v>
      </c>
      <c r="K7">
        <v>19.2</v>
      </c>
      <c r="L7">
        <v>0</v>
      </c>
      <c r="M7">
        <f t="shared" si="0"/>
        <v>508</v>
      </c>
      <c r="N7">
        <f t="shared" si="1"/>
        <v>2</v>
      </c>
      <c r="O7">
        <f t="shared" si="2"/>
        <v>510</v>
      </c>
      <c r="P7" t="str">
        <f>IFERROR(VLOOKUP(A7,'Batsmen 20'!$A$1:$O$68,1,0),"NA")</f>
        <v>NA</v>
      </c>
    </row>
    <row r="8" spans="1:16" x14ac:dyDescent="0.25">
      <c r="A8" t="s">
        <v>131</v>
      </c>
      <c r="B8" t="s">
        <v>132</v>
      </c>
      <c r="C8">
        <v>14</v>
      </c>
      <c r="D8">
        <v>53.4</v>
      </c>
      <c r="E8">
        <v>0</v>
      </c>
      <c r="F8">
        <v>460</v>
      </c>
      <c r="G8">
        <v>20</v>
      </c>
      <c r="H8">
        <v>23</v>
      </c>
      <c r="I8">
        <v>44635</v>
      </c>
      <c r="J8">
        <v>8.57</v>
      </c>
      <c r="K8">
        <v>16.100000000000001</v>
      </c>
      <c r="L8">
        <v>0</v>
      </c>
      <c r="M8">
        <f t="shared" si="0"/>
        <v>500</v>
      </c>
      <c r="N8" t="str">
        <f t="shared" si="1"/>
        <v>NA</v>
      </c>
      <c r="O8">
        <f t="shared" si="2"/>
        <v>500</v>
      </c>
      <c r="P8" t="str">
        <f>IFERROR(VLOOKUP(A8,'Batsmen 20'!$A$1:$O$68,1,0),"NA")</f>
        <v>NA</v>
      </c>
    </row>
    <row r="9" spans="1:16" x14ac:dyDescent="0.25">
      <c r="A9" t="s">
        <v>133</v>
      </c>
      <c r="B9" t="s">
        <v>134</v>
      </c>
      <c r="C9">
        <v>14</v>
      </c>
      <c r="D9">
        <v>55.4</v>
      </c>
      <c r="E9">
        <v>0</v>
      </c>
      <c r="F9">
        <v>365</v>
      </c>
      <c r="G9">
        <v>20</v>
      </c>
      <c r="H9">
        <v>18.25</v>
      </c>
      <c r="I9">
        <v>44639</v>
      </c>
      <c r="J9">
        <v>6.56</v>
      </c>
      <c r="K9">
        <v>16.7</v>
      </c>
      <c r="L9">
        <v>0</v>
      </c>
      <c r="M9">
        <f t="shared" si="0"/>
        <v>500</v>
      </c>
      <c r="N9" t="str">
        <f t="shared" si="1"/>
        <v>NA</v>
      </c>
      <c r="O9">
        <f t="shared" si="2"/>
        <v>500</v>
      </c>
      <c r="P9" t="str">
        <f>IFERROR(VLOOKUP(A9,'Batsmen 20'!$A$1:$O$68,1,0),"NA")</f>
        <v>NA</v>
      </c>
    </row>
    <row r="10" spans="1:16" x14ac:dyDescent="0.25">
      <c r="A10" t="s">
        <v>137</v>
      </c>
      <c r="B10" t="s">
        <v>138</v>
      </c>
      <c r="C10">
        <v>13</v>
      </c>
      <c r="D10">
        <v>52</v>
      </c>
      <c r="E10">
        <v>0</v>
      </c>
      <c r="F10">
        <v>356</v>
      </c>
      <c r="G10">
        <v>17</v>
      </c>
      <c r="H10">
        <v>20.94</v>
      </c>
      <c r="I10">
        <v>44701</v>
      </c>
      <c r="J10">
        <v>6.85</v>
      </c>
      <c r="K10">
        <v>18.350000000000001</v>
      </c>
      <c r="L10">
        <v>1</v>
      </c>
      <c r="M10">
        <f t="shared" si="0"/>
        <v>433</v>
      </c>
      <c r="N10" t="str">
        <f t="shared" si="1"/>
        <v>NA</v>
      </c>
      <c r="O10">
        <f t="shared" si="2"/>
        <v>433</v>
      </c>
      <c r="P10" t="str">
        <f>IFERROR(VLOOKUP(A10,'Batsmen 20'!$A$1:$O$68,1,0),"NA")</f>
        <v>NA</v>
      </c>
    </row>
    <row r="11" spans="1:16" x14ac:dyDescent="0.25">
      <c r="A11" t="s">
        <v>139</v>
      </c>
      <c r="B11" t="s">
        <v>140</v>
      </c>
      <c r="C11">
        <v>16</v>
      </c>
      <c r="D11">
        <v>62.5</v>
      </c>
      <c r="E11">
        <v>1</v>
      </c>
      <c r="F11">
        <v>504</v>
      </c>
      <c r="G11">
        <v>16</v>
      </c>
      <c r="H11">
        <v>31.5</v>
      </c>
      <c r="I11">
        <v>44616</v>
      </c>
      <c r="J11">
        <v>8.02</v>
      </c>
      <c r="K11">
        <v>23.56</v>
      </c>
      <c r="L11">
        <v>0</v>
      </c>
      <c r="M11">
        <f t="shared" si="0"/>
        <v>408</v>
      </c>
      <c r="N11" t="str">
        <f t="shared" si="1"/>
        <v>NA</v>
      </c>
      <c r="O11">
        <f t="shared" si="2"/>
        <v>408</v>
      </c>
      <c r="P11" t="str">
        <f>IFERROR(VLOOKUP(A11,'Batsmen 20'!$A$1:$O$68,1,0),"NA")</f>
        <v>NA</v>
      </c>
    </row>
    <row r="12" spans="1:16" x14ac:dyDescent="0.25">
      <c r="A12" t="s">
        <v>141</v>
      </c>
      <c r="B12" t="s">
        <v>142</v>
      </c>
      <c r="C12">
        <v>15</v>
      </c>
      <c r="D12">
        <v>53</v>
      </c>
      <c r="E12">
        <v>0</v>
      </c>
      <c r="F12">
        <v>433</v>
      </c>
      <c r="G12">
        <v>15</v>
      </c>
      <c r="H12">
        <v>28.87</v>
      </c>
      <c r="I12">
        <v>44610</v>
      </c>
      <c r="J12">
        <v>8.17</v>
      </c>
      <c r="K12">
        <v>21.2</v>
      </c>
      <c r="L12">
        <v>0</v>
      </c>
      <c r="M12">
        <f t="shared" si="0"/>
        <v>375</v>
      </c>
      <c r="N12" t="str">
        <f t="shared" si="1"/>
        <v>NA</v>
      </c>
      <c r="O12">
        <f t="shared" si="2"/>
        <v>375</v>
      </c>
      <c r="P12" t="str">
        <f>IFERROR(VLOOKUP(A12,'Batsmen 20'!$A$1:$O$68,1,0),"NA")</f>
        <v>NA</v>
      </c>
    </row>
    <row r="13" spans="1:16" x14ac:dyDescent="0.25">
      <c r="A13" t="s">
        <v>143</v>
      </c>
      <c r="B13" t="s">
        <v>144</v>
      </c>
      <c r="C13">
        <v>7</v>
      </c>
      <c r="D13">
        <v>28</v>
      </c>
      <c r="E13">
        <v>0</v>
      </c>
      <c r="F13">
        <v>233</v>
      </c>
      <c r="G13">
        <v>14</v>
      </c>
      <c r="H13">
        <v>16.64</v>
      </c>
      <c r="I13">
        <v>44645</v>
      </c>
      <c r="J13">
        <v>8.32</v>
      </c>
      <c r="K13">
        <v>12</v>
      </c>
      <c r="L13">
        <v>0</v>
      </c>
      <c r="M13">
        <f t="shared" si="0"/>
        <v>350</v>
      </c>
      <c r="N13" t="str">
        <f t="shared" si="1"/>
        <v>NA</v>
      </c>
      <c r="O13">
        <f t="shared" si="2"/>
        <v>350</v>
      </c>
      <c r="P13" t="str">
        <f>IFERROR(VLOOKUP(A13,'Batsmen 20'!$A$1:$O$68,1,0),"NA")</f>
        <v>NA</v>
      </c>
    </row>
    <row r="14" spans="1:16" x14ac:dyDescent="0.25">
      <c r="A14" t="s">
        <v>145</v>
      </c>
      <c r="B14" t="s">
        <v>140</v>
      </c>
      <c r="C14">
        <v>13</v>
      </c>
      <c r="D14">
        <v>52</v>
      </c>
      <c r="E14">
        <v>0</v>
      </c>
      <c r="F14">
        <v>374</v>
      </c>
      <c r="G14">
        <v>14</v>
      </c>
      <c r="H14">
        <v>26.71</v>
      </c>
      <c r="I14">
        <v>12479</v>
      </c>
      <c r="J14">
        <v>7.19</v>
      </c>
      <c r="K14">
        <v>22.29</v>
      </c>
      <c r="L14">
        <v>0</v>
      </c>
      <c r="M14">
        <f t="shared" si="0"/>
        <v>350</v>
      </c>
      <c r="N14" t="str">
        <f t="shared" si="1"/>
        <v>NA</v>
      </c>
      <c r="O14">
        <f t="shared" si="2"/>
        <v>350</v>
      </c>
      <c r="P14" t="str">
        <f>IFERROR(VLOOKUP(A14,'Batsmen 20'!$A$1:$O$68,1,0),"NA")</f>
        <v>NA</v>
      </c>
    </row>
    <row r="15" spans="1:16" x14ac:dyDescent="0.25">
      <c r="A15" t="s">
        <v>146</v>
      </c>
      <c r="B15" t="s">
        <v>147</v>
      </c>
      <c r="C15">
        <v>15</v>
      </c>
      <c r="D15">
        <v>51</v>
      </c>
      <c r="E15">
        <v>2</v>
      </c>
      <c r="F15">
        <v>391</v>
      </c>
      <c r="G15">
        <v>13</v>
      </c>
      <c r="H15">
        <v>30.08</v>
      </c>
      <c r="I15">
        <v>44649</v>
      </c>
      <c r="J15">
        <v>7.67</v>
      </c>
      <c r="K15">
        <v>23.54</v>
      </c>
      <c r="L15">
        <v>0</v>
      </c>
      <c r="M15">
        <f t="shared" si="0"/>
        <v>341</v>
      </c>
      <c r="N15" t="str">
        <f t="shared" si="1"/>
        <v>NA</v>
      </c>
      <c r="O15">
        <f t="shared" si="2"/>
        <v>341</v>
      </c>
      <c r="P15" t="str">
        <f>IFERROR(VLOOKUP(A15,'Batsmen 20'!$A$1:$O$68,1,0),"NA")</f>
        <v>NA</v>
      </c>
    </row>
    <row r="16" spans="1:16" x14ac:dyDescent="0.25">
      <c r="A16" t="s">
        <v>100</v>
      </c>
      <c r="B16" t="s">
        <v>148</v>
      </c>
      <c r="C16">
        <v>14</v>
      </c>
      <c r="D16">
        <v>42</v>
      </c>
      <c r="E16">
        <v>0</v>
      </c>
      <c r="F16">
        <v>344</v>
      </c>
      <c r="G16">
        <v>13</v>
      </c>
      <c r="H16">
        <v>26.46</v>
      </c>
      <c r="I16">
        <v>44639</v>
      </c>
      <c r="J16">
        <v>8.19</v>
      </c>
      <c r="K16">
        <v>19.38</v>
      </c>
      <c r="L16">
        <v>0</v>
      </c>
      <c r="M16">
        <f t="shared" si="0"/>
        <v>325</v>
      </c>
      <c r="N16" t="str">
        <f t="shared" si="1"/>
        <v>NA</v>
      </c>
      <c r="O16">
        <f t="shared" si="2"/>
        <v>325</v>
      </c>
      <c r="P16" t="str">
        <f>IFERROR(VLOOKUP(A16,'Batsmen 20'!$A$1:$O$68,1,0),"NA")</f>
        <v>S M Curran</v>
      </c>
    </row>
    <row r="17" spans="1:16" x14ac:dyDescent="0.25">
      <c r="A17" t="s">
        <v>77</v>
      </c>
      <c r="B17" t="s">
        <v>149</v>
      </c>
      <c r="C17">
        <v>17</v>
      </c>
      <c r="D17">
        <v>29.4</v>
      </c>
      <c r="E17">
        <v>0</v>
      </c>
      <c r="F17">
        <v>283</v>
      </c>
      <c r="G17">
        <v>13</v>
      </c>
      <c r="H17">
        <v>21.77</v>
      </c>
      <c r="I17">
        <v>44646</v>
      </c>
      <c r="J17">
        <v>9.5399999999999991</v>
      </c>
      <c r="K17">
        <v>13.69</v>
      </c>
      <c r="L17">
        <v>0</v>
      </c>
      <c r="M17">
        <f t="shared" si="0"/>
        <v>325</v>
      </c>
      <c r="N17">
        <f t="shared" si="1"/>
        <v>-2</v>
      </c>
      <c r="O17">
        <f t="shared" si="2"/>
        <v>323</v>
      </c>
      <c r="P17" t="str">
        <f>IFERROR(VLOOKUP(A17,'Batsmen 20'!$A$1:$O$68,1,0),"NA")</f>
        <v>M P Stoinis</v>
      </c>
    </row>
    <row r="18" spans="1:16" x14ac:dyDescent="0.25">
      <c r="A18" t="s">
        <v>150</v>
      </c>
      <c r="B18" t="s">
        <v>151</v>
      </c>
      <c r="C18">
        <v>14</v>
      </c>
      <c r="D18">
        <v>52</v>
      </c>
      <c r="E18">
        <v>2</v>
      </c>
      <c r="F18">
        <v>396</v>
      </c>
      <c r="G18">
        <v>12</v>
      </c>
      <c r="H18">
        <v>33</v>
      </c>
      <c r="I18">
        <v>44610</v>
      </c>
      <c r="J18">
        <v>7.62</v>
      </c>
      <c r="K18">
        <v>26</v>
      </c>
      <c r="L18">
        <v>0</v>
      </c>
      <c r="M18">
        <f t="shared" si="0"/>
        <v>316</v>
      </c>
      <c r="N18" t="str">
        <f t="shared" si="1"/>
        <v>NA</v>
      </c>
      <c r="O18">
        <f t="shared" si="2"/>
        <v>316</v>
      </c>
      <c r="P18" t="str">
        <f>IFERROR(VLOOKUP(A18,'Batsmen 20'!$A$1:$O$68,1,0),"NA")</f>
        <v>NA</v>
      </c>
    </row>
    <row r="19" spans="1:16" x14ac:dyDescent="0.25">
      <c r="A19" t="s">
        <v>103</v>
      </c>
      <c r="B19" t="s">
        <v>152</v>
      </c>
      <c r="C19">
        <v>14</v>
      </c>
      <c r="D19">
        <v>52</v>
      </c>
      <c r="E19">
        <v>0</v>
      </c>
      <c r="F19">
        <v>409</v>
      </c>
      <c r="G19">
        <v>12</v>
      </c>
      <c r="H19">
        <v>34.08</v>
      </c>
      <c r="I19">
        <v>12510</v>
      </c>
      <c r="J19">
        <v>7.87</v>
      </c>
      <c r="K19">
        <v>26</v>
      </c>
      <c r="L19">
        <v>1</v>
      </c>
      <c r="M19">
        <f t="shared" si="0"/>
        <v>308</v>
      </c>
      <c r="N19" t="str">
        <f t="shared" si="1"/>
        <v>NA</v>
      </c>
      <c r="O19">
        <f t="shared" si="2"/>
        <v>308</v>
      </c>
      <c r="P19" t="str">
        <f>IFERROR(VLOOKUP(A19,'Batsmen 20'!$A$1:$O$68,1,0),"NA")</f>
        <v>P J Cummins</v>
      </c>
    </row>
    <row r="20" spans="1:16" x14ac:dyDescent="0.25">
      <c r="A20" t="s">
        <v>153</v>
      </c>
      <c r="B20" t="s">
        <v>154</v>
      </c>
      <c r="C20">
        <v>14</v>
      </c>
      <c r="D20">
        <v>51</v>
      </c>
      <c r="E20">
        <v>1</v>
      </c>
      <c r="F20">
        <v>376</v>
      </c>
      <c r="G20">
        <v>12</v>
      </c>
      <c r="H20">
        <v>31.33</v>
      </c>
      <c r="I20">
        <v>44649</v>
      </c>
      <c r="J20">
        <v>7.37</v>
      </c>
      <c r="K20">
        <v>25.5</v>
      </c>
      <c r="L20">
        <v>0</v>
      </c>
      <c r="M20">
        <f t="shared" si="0"/>
        <v>308</v>
      </c>
      <c r="N20" t="str">
        <f t="shared" si="1"/>
        <v>NA</v>
      </c>
      <c r="O20">
        <f t="shared" si="2"/>
        <v>308</v>
      </c>
      <c r="P20" t="str">
        <f>IFERROR(VLOOKUP(A20,'Batsmen 20'!$A$1:$O$68,1,0),"NA")</f>
        <v>NA</v>
      </c>
    </row>
    <row r="21" spans="1:16" x14ac:dyDescent="0.25">
      <c r="A21" t="s">
        <v>156</v>
      </c>
      <c r="B21" t="s">
        <v>157</v>
      </c>
      <c r="C21">
        <v>9</v>
      </c>
      <c r="D21">
        <v>31.4</v>
      </c>
      <c r="E21">
        <v>1</v>
      </c>
      <c r="F21">
        <v>210</v>
      </c>
      <c r="G21">
        <v>11</v>
      </c>
      <c r="H21">
        <v>19.09</v>
      </c>
      <c r="I21">
        <v>44677</v>
      </c>
      <c r="J21">
        <v>6.63</v>
      </c>
      <c r="K21">
        <v>17.27</v>
      </c>
      <c r="L21">
        <v>1</v>
      </c>
      <c r="M21">
        <f t="shared" si="0"/>
        <v>291</v>
      </c>
      <c r="N21" t="str">
        <f t="shared" si="1"/>
        <v>NA</v>
      </c>
      <c r="O21">
        <f t="shared" si="2"/>
        <v>291</v>
      </c>
      <c r="P21" t="str">
        <f>IFERROR(VLOOKUP(A21,'Batsmen 20'!$A$1:$O$68,1,0),"NA")</f>
        <v>NA</v>
      </c>
    </row>
    <row r="22" spans="1:16" x14ac:dyDescent="0.25">
      <c r="A22" t="s">
        <v>158</v>
      </c>
      <c r="B22" t="s">
        <v>159</v>
      </c>
      <c r="C22">
        <v>9</v>
      </c>
      <c r="D22">
        <v>27.1</v>
      </c>
      <c r="E22">
        <v>2</v>
      </c>
      <c r="F22">
        <v>236</v>
      </c>
      <c r="G22">
        <v>11</v>
      </c>
      <c r="H22">
        <v>21.45</v>
      </c>
      <c r="I22">
        <v>44628</v>
      </c>
      <c r="J22">
        <v>8.69</v>
      </c>
      <c r="K22">
        <v>14.82</v>
      </c>
      <c r="L22">
        <v>0</v>
      </c>
      <c r="M22">
        <f t="shared" si="0"/>
        <v>291</v>
      </c>
      <c r="N22" t="str">
        <f t="shared" si="1"/>
        <v>NA</v>
      </c>
      <c r="O22">
        <f t="shared" si="2"/>
        <v>291</v>
      </c>
      <c r="P22" t="str">
        <f>IFERROR(VLOOKUP(A22,'Batsmen 20'!$A$1:$O$68,1,0),"NA")</f>
        <v>NA</v>
      </c>
    </row>
    <row r="23" spans="1:16" x14ac:dyDescent="0.25">
      <c r="A23" t="s">
        <v>155</v>
      </c>
      <c r="B23" t="s">
        <v>124</v>
      </c>
      <c r="C23">
        <v>10</v>
      </c>
      <c r="D23">
        <v>35.299999999999997</v>
      </c>
      <c r="E23">
        <v>0</v>
      </c>
      <c r="F23">
        <v>320</v>
      </c>
      <c r="G23">
        <v>11</v>
      </c>
      <c r="H23">
        <v>29.09</v>
      </c>
      <c r="I23">
        <v>44611</v>
      </c>
      <c r="J23">
        <v>9.01</v>
      </c>
      <c r="K23">
        <v>19.36</v>
      </c>
      <c r="L23">
        <v>0</v>
      </c>
      <c r="M23">
        <f t="shared" si="0"/>
        <v>275</v>
      </c>
      <c r="N23">
        <f t="shared" si="1"/>
        <v>-2</v>
      </c>
      <c r="O23">
        <f t="shared" si="2"/>
        <v>273</v>
      </c>
      <c r="P23" t="str">
        <f>IFERROR(VLOOKUP(A23,'Batsmen 20'!$A$1:$O$68,1,0),"NA")</f>
        <v>NA</v>
      </c>
    </row>
    <row r="24" spans="1:16" x14ac:dyDescent="0.25">
      <c r="A24" t="s">
        <v>160</v>
      </c>
      <c r="B24" t="s">
        <v>161</v>
      </c>
      <c r="C24">
        <v>9</v>
      </c>
      <c r="D24">
        <v>31.3</v>
      </c>
      <c r="E24">
        <v>0</v>
      </c>
      <c r="F24">
        <v>235</v>
      </c>
      <c r="G24">
        <v>10</v>
      </c>
      <c r="H24">
        <v>23.5</v>
      </c>
      <c r="I24">
        <v>44641</v>
      </c>
      <c r="J24">
        <v>7.46</v>
      </c>
      <c r="K24">
        <v>18.899999999999999</v>
      </c>
      <c r="L24">
        <v>0</v>
      </c>
      <c r="M24">
        <f t="shared" si="0"/>
        <v>250</v>
      </c>
      <c r="N24" t="str">
        <f t="shared" si="1"/>
        <v>NA</v>
      </c>
      <c r="O24">
        <f t="shared" si="2"/>
        <v>250</v>
      </c>
      <c r="P24" t="str">
        <f>IFERROR(VLOOKUP(A24,'Batsmen 20'!$A$1:$O$68,1,0),"NA")</f>
        <v>NA</v>
      </c>
    </row>
    <row r="25" spans="1:16" x14ac:dyDescent="0.25">
      <c r="A25" t="s">
        <v>162</v>
      </c>
      <c r="B25" t="s">
        <v>163</v>
      </c>
      <c r="C25">
        <v>9</v>
      </c>
      <c r="D25">
        <v>32.200000000000003</v>
      </c>
      <c r="E25">
        <v>0</v>
      </c>
      <c r="F25">
        <v>275</v>
      </c>
      <c r="G25">
        <v>10</v>
      </c>
      <c r="H25">
        <v>27.5</v>
      </c>
      <c r="I25">
        <v>44620</v>
      </c>
      <c r="J25">
        <v>8.51</v>
      </c>
      <c r="K25">
        <v>19.399999999999999</v>
      </c>
      <c r="L25">
        <v>0</v>
      </c>
      <c r="M25">
        <f t="shared" si="0"/>
        <v>250</v>
      </c>
      <c r="N25" t="str">
        <f t="shared" si="1"/>
        <v>NA</v>
      </c>
      <c r="O25">
        <f t="shared" si="2"/>
        <v>250</v>
      </c>
      <c r="P25" t="str">
        <f>IFERROR(VLOOKUP(A25,'Batsmen 20'!$A$1:$O$68,1,0),"NA")</f>
        <v>NA</v>
      </c>
    </row>
    <row r="26" spans="1:16" x14ac:dyDescent="0.25">
      <c r="A26" t="s">
        <v>164</v>
      </c>
      <c r="B26" t="s">
        <v>165</v>
      </c>
      <c r="C26">
        <v>14</v>
      </c>
      <c r="D26">
        <v>50</v>
      </c>
      <c r="E26">
        <v>0</v>
      </c>
      <c r="F26">
        <v>427</v>
      </c>
      <c r="G26">
        <v>10</v>
      </c>
      <c r="H26">
        <v>42.7</v>
      </c>
      <c r="I26">
        <v>44620</v>
      </c>
      <c r="J26">
        <v>8.5399999999999991</v>
      </c>
      <c r="K26">
        <v>30</v>
      </c>
      <c r="L26">
        <v>0</v>
      </c>
      <c r="M26">
        <f t="shared" si="0"/>
        <v>250</v>
      </c>
      <c r="N26" t="str">
        <f t="shared" si="1"/>
        <v>NA</v>
      </c>
      <c r="O26">
        <f t="shared" si="2"/>
        <v>250</v>
      </c>
      <c r="P26" t="str">
        <f>IFERROR(VLOOKUP(A26,'Batsmen 20'!$A$1:$O$68,1,0),"NA")</f>
        <v>NA</v>
      </c>
    </row>
    <row r="27" spans="1:16" x14ac:dyDescent="0.25">
      <c r="A27" t="s">
        <v>92</v>
      </c>
      <c r="B27" t="s">
        <v>166</v>
      </c>
      <c r="C27">
        <v>14</v>
      </c>
      <c r="D27">
        <v>46</v>
      </c>
      <c r="E27">
        <v>0</v>
      </c>
      <c r="F27">
        <v>326</v>
      </c>
      <c r="G27">
        <v>10</v>
      </c>
      <c r="H27">
        <v>32.6</v>
      </c>
      <c r="I27">
        <v>44645</v>
      </c>
      <c r="J27">
        <v>7.09</v>
      </c>
      <c r="K27">
        <v>27.6</v>
      </c>
      <c r="L27">
        <v>0</v>
      </c>
      <c r="M27">
        <f t="shared" si="0"/>
        <v>250</v>
      </c>
      <c r="N27" t="str">
        <f t="shared" si="1"/>
        <v>NA</v>
      </c>
      <c r="O27">
        <f t="shared" si="2"/>
        <v>250</v>
      </c>
      <c r="P27" t="str">
        <f>IFERROR(VLOOKUP(A27,'Batsmen 20'!$A$1:$O$68,1,0),"NA")</f>
        <v>R Tewatia</v>
      </c>
    </row>
    <row r="28" spans="1:16" x14ac:dyDescent="0.25">
      <c r="A28" t="s">
        <v>170</v>
      </c>
      <c r="B28" t="s">
        <v>171</v>
      </c>
      <c r="C28">
        <v>8</v>
      </c>
      <c r="D28">
        <v>26</v>
      </c>
      <c r="E28">
        <v>2</v>
      </c>
      <c r="F28">
        <v>212</v>
      </c>
      <c r="G28">
        <v>9</v>
      </c>
      <c r="H28">
        <v>23.56</v>
      </c>
      <c r="I28">
        <v>44607</v>
      </c>
      <c r="J28">
        <v>8.15</v>
      </c>
      <c r="K28">
        <v>17.329999999999998</v>
      </c>
      <c r="L28">
        <v>0</v>
      </c>
      <c r="M28">
        <f t="shared" si="0"/>
        <v>241</v>
      </c>
      <c r="N28" t="str">
        <f t="shared" si="1"/>
        <v>NA</v>
      </c>
      <c r="O28">
        <f t="shared" si="2"/>
        <v>241</v>
      </c>
      <c r="P28" t="str">
        <f>IFERROR(VLOOKUP(A28,'Batsmen 20'!$A$1:$O$68,1,0),"NA")</f>
        <v>NA</v>
      </c>
    </row>
    <row r="29" spans="1:16" x14ac:dyDescent="0.25">
      <c r="A29" t="s">
        <v>176</v>
      </c>
      <c r="B29" t="s">
        <v>177</v>
      </c>
      <c r="C29">
        <v>8</v>
      </c>
      <c r="D29">
        <v>24.5</v>
      </c>
      <c r="E29">
        <v>1</v>
      </c>
      <c r="F29">
        <v>218</v>
      </c>
      <c r="G29">
        <v>9</v>
      </c>
      <c r="H29">
        <v>24.22</v>
      </c>
      <c r="I29">
        <v>44643</v>
      </c>
      <c r="J29">
        <v>8.7799999999999994</v>
      </c>
      <c r="K29">
        <v>16.559999999999999</v>
      </c>
      <c r="L29">
        <v>0</v>
      </c>
      <c r="M29">
        <f t="shared" si="0"/>
        <v>233</v>
      </c>
      <c r="N29" t="str">
        <f t="shared" si="1"/>
        <v>NA</v>
      </c>
      <c r="O29">
        <f t="shared" si="2"/>
        <v>233</v>
      </c>
      <c r="P29" t="str">
        <f>IFERROR(VLOOKUP(A29,'Batsmen 20'!$A$1:$O$68,1,0),"NA")</f>
        <v>NA</v>
      </c>
    </row>
    <row r="30" spans="1:16" x14ac:dyDescent="0.25">
      <c r="A30" t="s">
        <v>109</v>
      </c>
      <c r="B30" t="s">
        <v>167</v>
      </c>
      <c r="C30">
        <v>15</v>
      </c>
      <c r="D30">
        <v>51</v>
      </c>
      <c r="E30">
        <v>0</v>
      </c>
      <c r="F30">
        <v>327</v>
      </c>
      <c r="G30">
        <v>9</v>
      </c>
      <c r="H30">
        <v>36.33</v>
      </c>
      <c r="I30">
        <v>44610</v>
      </c>
      <c r="J30">
        <v>6.41</v>
      </c>
      <c r="K30">
        <v>34</v>
      </c>
      <c r="L30">
        <v>0</v>
      </c>
      <c r="M30">
        <f t="shared" si="0"/>
        <v>225</v>
      </c>
      <c r="N30" t="str">
        <f t="shared" si="1"/>
        <v>NA</v>
      </c>
      <c r="O30">
        <f t="shared" si="2"/>
        <v>225</v>
      </c>
      <c r="P30" t="str">
        <f>IFERROR(VLOOKUP(A30,'Batsmen 20'!$A$1:$O$68,1,0),"NA")</f>
        <v>A R Patel</v>
      </c>
    </row>
    <row r="31" spans="1:16" x14ac:dyDescent="0.25">
      <c r="A31" t="s">
        <v>172</v>
      </c>
      <c r="B31" t="s">
        <v>173</v>
      </c>
      <c r="C31">
        <v>9</v>
      </c>
      <c r="D31">
        <v>31.3</v>
      </c>
      <c r="E31">
        <v>0</v>
      </c>
      <c r="F31">
        <v>304</v>
      </c>
      <c r="G31">
        <v>9</v>
      </c>
      <c r="H31">
        <v>33.78</v>
      </c>
      <c r="I31">
        <v>44637</v>
      </c>
      <c r="J31">
        <v>9.65</v>
      </c>
      <c r="K31">
        <v>21</v>
      </c>
      <c r="L31">
        <v>0</v>
      </c>
      <c r="M31">
        <f t="shared" si="0"/>
        <v>225</v>
      </c>
      <c r="N31">
        <f t="shared" si="1"/>
        <v>-2</v>
      </c>
      <c r="O31">
        <f t="shared" si="2"/>
        <v>223</v>
      </c>
      <c r="P31" t="str">
        <f>IFERROR(VLOOKUP(A31,'Batsmen 20'!$A$1:$O$68,1,0),"NA")</f>
        <v>NA</v>
      </c>
    </row>
    <row r="32" spans="1:16" x14ac:dyDescent="0.25">
      <c r="A32" t="s">
        <v>174</v>
      </c>
      <c r="B32" t="s">
        <v>175</v>
      </c>
      <c r="C32">
        <v>10</v>
      </c>
      <c r="D32">
        <v>38.1</v>
      </c>
      <c r="E32">
        <v>0</v>
      </c>
      <c r="F32">
        <v>367</v>
      </c>
      <c r="G32">
        <v>9</v>
      </c>
      <c r="H32">
        <v>40.78</v>
      </c>
      <c r="I32">
        <v>13181</v>
      </c>
      <c r="J32">
        <v>9.6199999999999992</v>
      </c>
      <c r="K32">
        <v>25.44</v>
      </c>
      <c r="L32">
        <v>0</v>
      </c>
      <c r="M32">
        <f t="shared" si="0"/>
        <v>225</v>
      </c>
      <c r="N32">
        <f t="shared" si="1"/>
        <v>-2</v>
      </c>
      <c r="O32">
        <f t="shared" si="2"/>
        <v>223</v>
      </c>
      <c r="P32" t="str">
        <f>IFERROR(VLOOKUP(A32,'Batsmen 20'!$A$1:$O$68,1,0),"NA")</f>
        <v>NA</v>
      </c>
    </row>
    <row r="33" spans="1:16" x14ac:dyDescent="0.25">
      <c r="A33" t="s">
        <v>168</v>
      </c>
      <c r="B33" t="s">
        <v>169</v>
      </c>
      <c r="C33">
        <v>4</v>
      </c>
      <c r="D33">
        <v>16</v>
      </c>
      <c r="E33">
        <v>0</v>
      </c>
      <c r="F33">
        <v>167</v>
      </c>
      <c r="G33">
        <v>9</v>
      </c>
      <c r="H33">
        <v>18.559999999999999</v>
      </c>
      <c r="I33">
        <v>13940</v>
      </c>
      <c r="J33">
        <v>10.44</v>
      </c>
      <c r="K33">
        <v>10.67</v>
      </c>
      <c r="L33">
        <v>0</v>
      </c>
      <c r="M33">
        <f t="shared" si="0"/>
        <v>225</v>
      </c>
      <c r="N33">
        <f t="shared" si="1"/>
        <v>-4</v>
      </c>
      <c r="O33">
        <f t="shared" si="2"/>
        <v>221</v>
      </c>
      <c r="P33" t="str">
        <f>IFERROR(VLOOKUP(A33,'Batsmen 20'!$A$1:$O$68,1,0),"NA")</f>
        <v>NA</v>
      </c>
    </row>
    <row r="34" spans="1:16" x14ac:dyDescent="0.25">
      <c r="A34" t="s">
        <v>180</v>
      </c>
      <c r="B34" t="s">
        <v>181</v>
      </c>
      <c r="C34">
        <v>15</v>
      </c>
      <c r="D34">
        <v>50</v>
      </c>
      <c r="E34">
        <v>1</v>
      </c>
      <c r="F34">
        <v>298</v>
      </c>
      <c r="G34">
        <v>8</v>
      </c>
      <c r="H34">
        <v>37.25</v>
      </c>
      <c r="I34">
        <v>44608</v>
      </c>
      <c r="J34">
        <v>5.96</v>
      </c>
      <c r="K34">
        <v>37.5</v>
      </c>
      <c r="L34">
        <v>0</v>
      </c>
      <c r="M34">
        <f t="shared" ref="M34:M65" si="3">((G34*25)+(L34*8)+(E34*8))</f>
        <v>208</v>
      </c>
      <c r="N34">
        <f t="shared" ref="N34:N68" si="4">IF(J34&lt;4,6,IF(AND(J34&gt;=4,J34&lt;=4.99),4,IF(AND(J34&gt;=5,J34&lt;=6),2,IF(AND(J34&gt;=9,J34&lt;=10),-2,IF(AND(J34&gt;=10.01,J34&lt;=11),-4,IF(J34&gt;11,-6,"NA"))))))</f>
        <v>2</v>
      </c>
      <c r="O34">
        <f t="shared" ref="O34:O65" si="5">IFERROR(M34+N34,M34)</f>
        <v>210</v>
      </c>
      <c r="P34" t="str">
        <f>IFERROR(VLOOKUP(A34,'Batsmen 20'!$A$1:$O$68,1,0),"NA")</f>
        <v>NA</v>
      </c>
    </row>
    <row r="35" spans="1:16" x14ac:dyDescent="0.25">
      <c r="A35" t="s">
        <v>178</v>
      </c>
      <c r="B35" t="s">
        <v>179</v>
      </c>
      <c r="C35">
        <v>10</v>
      </c>
      <c r="D35">
        <v>29</v>
      </c>
      <c r="E35">
        <v>0</v>
      </c>
      <c r="F35">
        <v>282</v>
      </c>
      <c r="G35">
        <v>8</v>
      </c>
      <c r="H35">
        <v>35.25</v>
      </c>
      <c r="I35">
        <v>15008</v>
      </c>
      <c r="J35">
        <v>9.7200000000000006</v>
      </c>
      <c r="K35">
        <v>21.75</v>
      </c>
      <c r="L35">
        <v>0</v>
      </c>
      <c r="M35">
        <f t="shared" si="3"/>
        <v>200</v>
      </c>
      <c r="N35">
        <f t="shared" si="4"/>
        <v>-2</v>
      </c>
      <c r="O35">
        <f t="shared" si="5"/>
        <v>198</v>
      </c>
      <c r="P35" t="str">
        <f>IFERROR(VLOOKUP(A35,'Batsmen 20'!$A$1:$O$68,1,0),"NA")</f>
        <v>NA</v>
      </c>
    </row>
    <row r="36" spans="1:16" x14ac:dyDescent="0.25">
      <c r="A36" t="s">
        <v>182</v>
      </c>
      <c r="B36" t="s">
        <v>183</v>
      </c>
      <c r="C36">
        <v>7</v>
      </c>
      <c r="D36">
        <v>25.4</v>
      </c>
      <c r="E36">
        <v>0</v>
      </c>
      <c r="F36">
        <v>242</v>
      </c>
      <c r="G36">
        <v>8</v>
      </c>
      <c r="H36">
        <v>30.25</v>
      </c>
      <c r="I36">
        <v>44616</v>
      </c>
      <c r="J36">
        <v>9.43</v>
      </c>
      <c r="K36">
        <v>19.25</v>
      </c>
      <c r="L36">
        <v>0</v>
      </c>
      <c r="M36">
        <f t="shared" si="3"/>
        <v>200</v>
      </c>
      <c r="N36">
        <f t="shared" si="4"/>
        <v>-2</v>
      </c>
      <c r="O36">
        <f t="shared" si="5"/>
        <v>198</v>
      </c>
      <c r="P36" t="str">
        <f>IFERROR(VLOOKUP(A36,'Batsmen 20'!$A$1:$O$68,1,0),"NA")</f>
        <v>NA</v>
      </c>
    </row>
    <row r="37" spans="1:16" x14ac:dyDescent="0.25">
      <c r="A37" t="s">
        <v>188</v>
      </c>
      <c r="B37" t="s">
        <v>189</v>
      </c>
      <c r="C37">
        <v>13</v>
      </c>
      <c r="D37">
        <v>45.4</v>
      </c>
      <c r="E37">
        <v>1</v>
      </c>
      <c r="F37">
        <v>379</v>
      </c>
      <c r="G37">
        <v>6</v>
      </c>
      <c r="H37">
        <v>63.17</v>
      </c>
      <c r="I37">
        <v>44617</v>
      </c>
      <c r="J37">
        <v>8.3000000000000007</v>
      </c>
      <c r="K37">
        <v>45.67</v>
      </c>
      <c r="L37">
        <v>0</v>
      </c>
      <c r="M37">
        <f t="shared" si="3"/>
        <v>158</v>
      </c>
      <c r="N37" t="str">
        <f t="shared" si="4"/>
        <v>NA</v>
      </c>
      <c r="O37">
        <f t="shared" si="5"/>
        <v>158</v>
      </c>
      <c r="P37" t="str">
        <f>IFERROR(VLOOKUP(A37,'Batsmen 20'!$A$1:$O$68,1,0),"NA")</f>
        <v>NA</v>
      </c>
    </row>
    <row r="38" spans="1:16" x14ac:dyDescent="0.25">
      <c r="A38" t="s">
        <v>190</v>
      </c>
      <c r="B38" t="s">
        <v>177</v>
      </c>
      <c r="C38">
        <v>6</v>
      </c>
      <c r="D38">
        <v>20</v>
      </c>
      <c r="E38">
        <v>1</v>
      </c>
      <c r="F38">
        <v>176</v>
      </c>
      <c r="G38">
        <v>6</v>
      </c>
      <c r="H38">
        <v>29.33</v>
      </c>
      <c r="I38">
        <v>44609</v>
      </c>
      <c r="J38">
        <v>8.8000000000000007</v>
      </c>
      <c r="K38">
        <v>20</v>
      </c>
      <c r="L38">
        <v>0</v>
      </c>
      <c r="M38">
        <f t="shared" si="3"/>
        <v>158</v>
      </c>
      <c r="N38" t="str">
        <f t="shared" si="4"/>
        <v>NA</v>
      </c>
      <c r="O38">
        <f t="shared" si="5"/>
        <v>158</v>
      </c>
      <c r="P38" t="str">
        <f>IFERROR(VLOOKUP(A38,'Batsmen 20'!$A$1:$O$68,1,0),"NA")</f>
        <v>NA</v>
      </c>
    </row>
    <row r="39" spans="1:16" x14ac:dyDescent="0.25">
      <c r="A39" t="s">
        <v>184</v>
      </c>
      <c r="B39" t="s">
        <v>185</v>
      </c>
      <c r="C39">
        <v>16</v>
      </c>
      <c r="D39">
        <v>50.1</v>
      </c>
      <c r="E39">
        <v>0</v>
      </c>
      <c r="F39">
        <v>380</v>
      </c>
      <c r="G39">
        <v>6</v>
      </c>
      <c r="H39">
        <v>63.33</v>
      </c>
      <c r="I39">
        <v>44618</v>
      </c>
      <c r="J39">
        <v>7.57</v>
      </c>
      <c r="K39">
        <v>50.17</v>
      </c>
      <c r="L39">
        <v>0</v>
      </c>
      <c r="M39">
        <f t="shared" si="3"/>
        <v>150</v>
      </c>
      <c r="N39" t="str">
        <f t="shared" si="4"/>
        <v>NA</v>
      </c>
      <c r="O39">
        <f t="shared" si="5"/>
        <v>150</v>
      </c>
      <c r="P39" t="str">
        <f>IFERROR(VLOOKUP(A39,'Batsmen 20'!$A$1:$O$68,1,0),"NA")</f>
        <v>NA</v>
      </c>
    </row>
    <row r="40" spans="1:16" x14ac:dyDescent="0.25">
      <c r="A40" t="s">
        <v>186</v>
      </c>
      <c r="B40" t="s">
        <v>187</v>
      </c>
      <c r="C40">
        <v>5</v>
      </c>
      <c r="D40">
        <v>19.5</v>
      </c>
      <c r="E40">
        <v>0</v>
      </c>
      <c r="F40">
        <v>148</v>
      </c>
      <c r="G40">
        <v>6</v>
      </c>
      <c r="H40">
        <v>24.67</v>
      </c>
      <c r="I40">
        <v>44635</v>
      </c>
      <c r="J40">
        <v>7.46</v>
      </c>
      <c r="K40">
        <v>19.829999999999998</v>
      </c>
      <c r="L40">
        <v>0</v>
      </c>
      <c r="M40">
        <f t="shared" si="3"/>
        <v>150</v>
      </c>
      <c r="N40" t="str">
        <f t="shared" si="4"/>
        <v>NA</v>
      </c>
      <c r="O40">
        <f t="shared" si="5"/>
        <v>150</v>
      </c>
      <c r="P40" t="str">
        <f>IFERROR(VLOOKUP(A40,'Batsmen 20'!$A$1:$O$68,1,0),"NA")</f>
        <v>NA</v>
      </c>
    </row>
    <row r="41" spans="1:16" x14ac:dyDescent="0.25">
      <c r="A41" t="s">
        <v>93</v>
      </c>
      <c r="B41" t="s">
        <v>192</v>
      </c>
      <c r="C41">
        <v>14</v>
      </c>
      <c r="D41">
        <v>36.200000000000003</v>
      </c>
      <c r="E41">
        <v>0</v>
      </c>
      <c r="F41">
        <v>318</v>
      </c>
      <c r="G41">
        <v>6</v>
      </c>
      <c r="H41">
        <v>53</v>
      </c>
      <c r="I41">
        <v>15373</v>
      </c>
      <c r="J41">
        <v>8.75</v>
      </c>
      <c r="K41">
        <v>36.33</v>
      </c>
      <c r="L41">
        <v>0</v>
      </c>
      <c r="M41">
        <f t="shared" si="3"/>
        <v>150</v>
      </c>
      <c r="N41" t="str">
        <f t="shared" si="4"/>
        <v>NA</v>
      </c>
      <c r="O41">
        <f t="shared" si="5"/>
        <v>150</v>
      </c>
      <c r="P41" t="str">
        <f>IFERROR(VLOOKUP(A41,'Batsmen 20'!$A$1:$O$68,1,0),"NA")</f>
        <v>R A Jadeja</v>
      </c>
    </row>
    <row r="42" spans="1:16" x14ac:dyDescent="0.25">
      <c r="A42" t="s">
        <v>193</v>
      </c>
      <c r="B42" t="s">
        <v>194</v>
      </c>
      <c r="C42">
        <v>6</v>
      </c>
      <c r="D42">
        <v>21</v>
      </c>
      <c r="E42">
        <v>0</v>
      </c>
      <c r="F42">
        <v>180</v>
      </c>
      <c r="G42">
        <v>6</v>
      </c>
      <c r="H42">
        <v>30</v>
      </c>
      <c r="I42">
        <v>13575</v>
      </c>
      <c r="J42">
        <v>8.57</v>
      </c>
      <c r="K42">
        <v>21</v>
      </c>
      <c r="L42">
        <v>0</v>
      </c>
      <c r="M42">
        <f t="shared" si="3"/>
        <v>150</v>
      </c>
      <c r="N42" t="str">
        <f t="shared" si="4"/>
        <v>NA</v>
      </c>
      <c r="O42">
        <f t="shared" si="5"/>
        <v>150</v>
      </c>
      <c r="P42" t="str">
        <f>IFERROR(VLOOKUP(A42,'Batsmen 20'!$A$1:$O$68,1,0),"NA")</f>
        <v>NA</v>
      </c>
    </row>
    <row r="43" spans="1:16" x14ac:dyDescent="0.25">
      <c r="A43" t="s">
        <v>110</v>
      </c>
      <c r="B43" t="s">
        <v>191</v>
      </c>
      <c r="C43">
        <v>10</v>
      </c>
      <c r="D43">
        <v>18</v>
      </c>
      <c r="E43">
        <v>0</v>
      </c>
      <c r="F43">
        <v>175</v>
      </c>
      <c r="G43">
        <v>6</v>
      </c>
      <c r="H43">
        <v>29.17</v>
      </c>
      <c r="I43">
        <v>47150</v>
      </c>
      <c r="J43">
        <v>9.7200000000000006</v>
      </c>
      <c r="K43">
        <v>18</v>
      </c>
      <c r="L43">
        <v>0</v>
      </c>
      <c r="M43">
        <f t="shared" si="3"/>
        <v>150</v>
      </c>
      <c r="N43">
        <f t="shared" si="4"/>
        <v>-2</v>
      </c>
      <c r="O43">
        <f t="shared" si="5"/>
        <v>148</v>
      </c>
      <c r="P43" t="str">
        <f>IFERROR(VLOOKUP(A43,'Batsmen 20'!$A$1:$O$68,1,0),"NA")</f>
        <v>A D Russell</v>
      </c>
    </row>
    <row r="44" spans="1:16" x14ac:dyDescent="0.25">
      <c r="A44" t="s">
        <v>195</v>
      </c>
      <c r="B44" t="s">
        <v>196</v>
      </c>
      <c r="C44">
        <v>7</v>
      </c>
      <c r="D44">
        <v>21</v>
      </c>
      <c r="E44">
        <v>0</v>
      </c>
      <c r="F44">
        <v>191</v>
      </c>
      <c r="G44">
        <v>6</v>
      </c>
      <c r="H44">
        <v>31.83</v>
      </c>
      <c r="I44">
        <v>12086</v>
      </c>
      <c r="J44">
        <v>9.1</v>
      </c>
      <c r="K44">
        <v>21</v>
      </c>
      <c r="L44">
        <v>0</v>
      </c>
      <c r="M44">
        <f t="shared" si="3"/>
        <v>150</v>
      </c>
      <c r="N44">
        <f t="shared" si="4"/>
        <v>-2</v>
      </c>
      <c r="O44">
        <f t="shared" si="5"/>
        <v>148</v>
      </c>
      <c r="P44" t="str">
        <f>IFERROR(VLOOKUP(A44,'Batsmen 20'!$A$1:$O$68,1,0),"NA")</f>
        <v>NA</v>
      </c>
    </row>
    <row r="45" spans="1:16" x14ac:dyDescent="0.25">
      <c r="A45" t="s">
        <v>108</v>
      </c>
      <c r="B45" t="s">
        <v>171</v>
      </c>
      <c r="C45">
        <v>10</v>
      </c>
      <c r="D45">
        <v>38</v>
      </c>
      <c r="E45">
        <v>0</v>
      </c>
      <c r="F45">
        <v>302</v>
      </c>
      <c r="G45">
        <v>5</v>
      </c>
      <c r="H45">
        <v>60.4</v>
      </c>
      <c r="I45">
        <v>44620</v>
      </c>
      <c r="J45">
        <v>7.95</v>
      </c>
      <c r="K45">
        <v>45.6</v>
      </c>
      <c r="L45">
        <v>0</v>
      </c>
      <c r="M45">
        <f t="shared" si="3"/>
        <v>125</v>
      </c>
      <c r="N45" t="str">
        <f t="shared" si="4"/>
        <v>NA</v>
      </c>
      <c r="O45">
        <f t="shared" si="5"/>
        <v>125</v>
      </c>
      <c r="P45" t="str">
        <f>IFERROR(VLOOKUP(A45,'Batsmen 20'!$A$1:$O$68,1,0),"NA")</f>
        <v>S P Narine</v>
      </c>
    </row>
    <row r="46" spans="1:16" x14ac:dyDescent="0.25">
      <c r="A46" t="s">
        <v>197</v>
      </c>
      <c r="B46" t="s">
        <v>198</v>
      </c>
      <c r="C46">
        <v>7</v>
      </c>
      <c r="D46">
        <v>22</v>
      </c>
      <c r="E46">
        <v>0</v>
      </c>
      <c r="F46">
        <v>178</v>
      </c>
      <c r="G46">
        <v>5</v>
      </c>
      <c r="H46">
        <v>35.6</v>
      </c>
      <c r="I46">
        <v>44611</v>
      </c>
      <c r="J46">
        <v>8.09</v>
      </c>
      <c r="K46">
        <v>26.4</v>
      </c>
      <c r="L46">
        <v>0</v>
      </c>
      <c r="M46">
        <f t="shared" si="3"/>
        <v>125</v>
      </c>
      <c r="N46" t="str">
        <f t="shared" si="4"/>
        <v>NA</v>
      </c>
      <c r="O46">
        <f t="shared" si="5"/>
        <v>125</v>
      </c>
      <c r="P46" t="str">
        <f>IFERROR(VLOOKUP(A46,'Batsmen 20'!$A$1:$O$68,1,0),"NA")</f>
        <v>NA</v>
      </c>
    </row>
    <row r="47" spans="1:16" x14ac:dyDescent="0.25">
      <c r="A47" t="s">
        <v>199</v>
      </c>
      <c r="B47" t="s">
        <v>200</v>
      </c>
      <c r="C47">
        <v>5</v>
      </c>
      <c r="D47">
        <v>19</v>
      </c>
      <c r="E47">
        <v>0</v>
      </c>
      <c r="F47">
        <v>165</v>
      </c>
      <c r="G47">
        <v>5</v>
      </c>
      <c r="H47">
        <v>33</v>
      </c>
      <c r="I47">
        <v>44617</v>
      </c>
      <c r="J47">
        <v>8.68</v>
      </c>
      <c r="K47">
        <v>22.8</v>
      </c>
      <c r="L47">
        <v>0</v>
      </c>
      <c r="M47">
        <f t="shared" si="3"/>
        <v>125</v>
      </c>
      <c r="N47" t="str">
        <f t="shared" si="4"/>
        <v>NA</v>
      </c>
      <c r="O47">
        <f t="shared" si="5"/>
        <v>125</v>
      </c>
      <c r="P47" t="str">
        <f>IFERROR(VLOOKUP(A47,'Batsmen 20'!$A$1:$O$68,1,0),"NA")</f>
        <v>NA</v>
      </c>
    </row>
    <row r="48" spans="1:16" x14ac:dyDescent="0.25">
      <c r="A48" t="s">
        <v>201</v>
      </c>
      <c r="B48" t="s">
        <v>202</v>
      </c>
      <c r="C48">
        <v>7</v>
      </c>
      <c r="D48">
        <v>26</v>
      </c>
      <c r="E48">
        <v>0</v>
      </c>
      <c r="F48">
        <v>206</v>
      </c>
      <c r="G48">
        <v>5</v>
      </c>
      <c r="H48">
        <v>41.2</v>
      </c>
      <c r="I48">
        <v>47150</v>
      </c>
      <c r="J48">
        <v>7.92</v>
      </c>
      <c r="K48">
        <v>31.2</v>
      </c>
      <c r="L48">
        <v>0</v>
      </c>
      <c r="M48">
        <f t="shared" si="3"/>
        <v>125</v>
      </c>
      <c r="N48" t="str">
        <f t="shared" si="4"/>
        <v>NA</v>
      </c>
      <c r="O48">
        <f t="shared" si="5"/>
        <v>125</v>
      </c>
      <c r="P48" t="str">
        <f>IFERROR(VLOOKUP(A48,'Batsmen 20'!$A$1:$O$68,1,0),"NA")</f>
        <v>NA</v>
      </c>
    </row>
    <row r="49" spans="1:16" x14ac:dyDescent="0.25">
      <c r="A49" t="s">
        <v>203</v>
      </c>
      <c r="B49" t="s">
        <v>152</v>
      </c>
      <c r="C49">
        <v>10</v>
      </c>
      <c r="D49">
        <v>26</v>
      </c>
      <c r="E49">
        <v>0</v>
      </c>
      <c r="F49">
        <v>231</v>
      </c>
      <c r="G49">
        <v>5</v>
      </c>
      <c r="H49">
        <v>46.2</v>
      </c>
      <c r="I49">
        <v>44605</v>
      </c>
      <c r="J49">
        <v>8.8800000000000008</v>
      </c>
      <c r="K49">
        <v>31.2</v>
      </c>
      <c r="L49">
        <v>0</v>
      </c>
      <c r="M49">
        <f t="shared" si="3"/>
        <v>125</v>
      </c>
      <c r="N49" t="str">
        <f t="shared" si="4"/>
        <v>NA</v>
      </c>
      <c r="O49">
        <f t="shared" si="5"/>
        <v>125</v>
      </c>
      <c r="P49" t="str">
        <f>IFERROR(VLOOKUP(A49,'Batsmen 20'!$A$1:$O$68,1,0),"NA")</f>
        <v>NA</v>
      </c>
    </row>
    <row r="50" spans="1:16" x14ac:dyDescent="0.25">
      <c r="A50" t="s">
        <v>206</v>
      </c>
      <c r="B50" t="s">
        <v>207</v>
      </c>
      <c r="C50">
        <v>7</v>
      </c>
      <c r="D50">
        <v>13.1</v>
      </c>
      <c r="E50">
        <v>0</v>
      </c>
      <c r="F50">
        <v>82</v>
      </c>
      <c r="G50">
        <v>4</v>
      </c>
      <c r="H50">
        <v>20.5</v>
      </c>
      <c r="I50">
        <v>44572</v>
      </c>
      <c r="J50">
        <v>6.23</v>
      </c>
      <c r="K50">
        <v>19.75</v>
      </c>
      <c r="L50">
        <v>0</v>
      </c>
      <c r="M50">
        <f t="shared" si="3"/>
        <v>100</v>
      </c>
      <c r="N50" t="str">
        <f t="shared" si="4"/>
        <v>NA</v>
      </c>
      <c r="O50">
        <f t="shared" si="5"/>
        <v>100</v>
      </c>
      <c r="P50" t="str">
        <f>IFERROR(VLOOKUP(A50,'Batsmen 20'!$A$1:$O$68,1,0),"NA")</f>
        <v>NA</v>
      </c>
    </row>
    <row r="51" spans="1:16" x14ac:dyDescent="0.25">
      <c r="A51" t="s">
        <v>107</v>
      </c>
      <c r="B51" t="s">
        <v>210</v>
      </c>
      <c r="C51">
        <v>11</v>
      </c>
      <c r="D51">
        <v>9</v>
      </c>
      <c r="E51">
        <v>0</v>
      </c>
      <c r="F51">
        <v>73</v>
      </c>
      <c r="G51">
        <v>4</v>
      </c>
      <c r="H51">
        <v>18.25</v>
      </c>
      <c r="I51">
        <v>44607</v>
      </c>
      <c r="J51">
        <v>8.11</v>
      </c>
      <c r="K51">
        <v>13.5</v>
      </c>
      <c r="L51">
        <v>0</v>
      </c>
      <c r="M51">
        <f t="shared" si="3"/>
        <v>100</v>
      </c>
      <c r="N51" t="str">
        <f t="shared" si="4"/>
        <v>NA</v>
      </c>
      <c r="O51">
        <f t="shared" si="5"/>
        <v>100</v>
      </c>
      <c r="P51" t="str">
        <f>IFERROR(VLOOKUP(A51,'Batsmen 20'!$A$1:$O$68,1,0),"NA")</f>
        <v>S Dube</v>
      </c>
    </row>
    <row r="52" spans="1:16" x14ac:dyDescent="0.25">
      <c r="A52" t="s">
        <v>204</v>
      </c>
      <c r="B52" t="s">
        <v>205</v>
      </c>
      <c r="C52">
        <v>6</v>
      </c>
      <c r="D52">
        <v>17.3</v>
      </c>
      <c r="E52">
        <v>0</v>
      </c>
      <c r="F52">
        <v>164</v>
      </c>
      <c r="G52">
        <v>4</v>
      </c>
      <c r="H52">
        <v>41</v>
      </c>
      <c r="I52">
        <v>44649</v>
      </c>
      <c r="J52">
        <v>9.3699999999999992</v>
      </c>
      <c r="K52">
        <v>26.25</v>
      </c>
      <c r="L52">
        <v>0</v>
      </c>
      <c r="M52">
        <f t="shared" si="3"/>
        <v>100</v>
      </c>
      <c r="N52">
        <f t="shared" si="4"/>
        <v>-2</v>
      </c>
      <c r="O52">
        <f t="shared" si="5"/>
        <v>98</v>
      </c>
      <c r="P52" t="str">
        <f>IFERROR(VLOOKUP(A52,'Batsmen 20'!$A$1:$O$68,1,0),"NA")</f>
        <v>NA</v>
      </c>
    </row>
    <row r="53" spans="1:16" x14ac:dyDescent="0.25">
      <c r="A53" t="s">
        <v>208</v>
      </c>
      <c r="B53" t="s">
        <v>209</v>
      </c>
      <c r="C53">
        <v>7</v>
      </c>
      <c r="D53">
        <v>23</v>
      </c>
      <c r="E53">
        <v>0</v>
      </c>
      <c r="F53">
        <v>228</v>
      </c>
      <c r="G53">
        <v>4</v>
      </c>
      <c r="H53">
        <v>57</v>
      </c>
      <c r="I53">
        <v>11720</v>
      </c>
      <c r="J53">
        <v>9.91</v>
      </c>
      <c r="K53">
        <v>34.5</v>
      </c>
      <c r="L53">
        <v>0</v>
      </c>
      <c r="M53">
        <f t="shared" si="3"/>
        <v>100</v>
      </c>
      <c r="N53">
        <f t="shared" si="4"/>
        <v>-2</v>
      </c>
      <c r="O53">
        <f t="shared" si="5"/>
        <v>98</v>
      </c>
      <c r="P53" t="str">
        <f>IFERROR(VLOOKUP(A53,'Batsmen 20'!$A$1:$O$68,1,0),"NA")</f>
        <v>NA</v>
      </c>
    </row>
    <row r="54" spans="1:16" x14ac:dyDescent="0.25">
      <c r="A54" t="s">
        <v>90</v>
      </c>
      <c r="B54" t="s">
        <v>124</v>
      </c>
      <c r="C54">
        <v>16</v>
      </c>
      <c r="D54">
        <v>21</v>
      </c>
      <c r="E54">
        <v>0</v>
      </c>
      <c r="F54">
        <v>190</v>
      </c>
      <c r="G54">
        <v>4</v>
      </c>
      <c r="H54">
        <v>47.5</v>
      </c>
      <c r="I54">
        <v>44566</v>
      </c>
      <c r="J54">
        <v>9.0500000000000007</v>
      </c>
      <c r="K54">
        <v>31.5</v>
      </c>
      <c r="L54">
        <v>0</v>
      </c>
      <c r="M54">
        <f t="shared" si="3"/>
        <v>100</v>
      </c>
      <c r="N54">
        <f t="shared" si="4"/>
        <v>-2</v>
      </c>
      <c r="O54">
        <f t="shared" si="5"/>
        <v>98</v>
      </c>
      <c r="P54" t="str">
        <f>IFERROR(VLOOKUP(A54,'Batsmen 20'!$A$1:$O$68,1,0),"NA")</f>
        <v>K A Pollard</v>
      </c>
    </row>
    <row r="55" spans="1:16" x14ac:dyDescent="0.25">
      <c r="A55" t="s">
        <v>213</v>
      </c>
      <c r="B55" t="s">
        <v>214</v>
      </c>
      <c r="C55">
        <v>3</v>
      </c>
      <c r="D55">
        <v>10</v>
      </c>
      <c r="E55">
        <v>0</v>
      </c>
      <c r="F55">
        <v>72</v>
      </c>
      <c r="G55">
        <v>3</v>
      </c>
      <c r="H55">
        <v>24</v>
      </c>
      <c r="I55">
        <v>12816</v>
      </c>
      <c r="J55">
        <v>7.2</v>
      </c>
      <c r="K55">
        <v>20</v>
      </c>
      <c r="L55">
        <v>0</v>
      </c>
      <c r="M55">
        <f t="shared" si="3"/>
        <v>75</v>
      </c>
      <c r="N55" t="str">
        <f t="shared" si="4"/>
        <v>NA</v>
      </c>
      <c r="O55">
        <f t="shared" si="5"/>
        <v>75</v>
      </c>
      <c r="P55" t="str">
        <f>IFERROR(VLOOKUP(A55,'Batsmen 20'!$A$1:$O$68,1,0),"NA")</f>
        <v>NA</v>
      </c>
    </row>
    <row r="56" spans="1:16" x14ac:dyDescent="0.25">
      <c r="A56" t="s">
        <v>215</v>
      </c>
      <c r="B56" t="s">
        <v>216</v>
      </c>
      <c r="C56">
        <v>13</v>
      </c>
      <c r="D56">
        <v>21</v>
      </c>
      <c r="E56">
        <v>0</v>
      </c>
      <c r="F56">
        <v>169</v>
      </c>
      <c r="G56">
        <v>3</v>
      </c>
      <c r="H56">
        <v>56.33</v>
      </c>
      <c r="I56">
        <v>44571</v>
      </c>
      <c r="J56">
        <v>8.0500000000000007</v>
      </c>
      <c r="K56">
        <v>42</v>
      </c>
      <c r="L56">
        <v>0</v>
      </c>
      <c r="M56">
        <f t="shared" si="3"/>
        <v>75</v>
      </c>
      <c r="N56" t="str">
        <f t="shared" si="4"/>
        <v>NA</v>
      </c>
      <c r="O56">
        <f t="shared" si="5"/>
        <v>75</v>
      </c>
      <c r="P56" t="str">
        <f>IFERROR(VLOOKUP(A56,'Batsmen 20'!$A$1:$O$68,1,0),"NA")</f>
        <v>NA</v>
      </c>
    </row>
    <row r="57" spans="1:16" x14ac:dyDescent="0.25">
      <c r="A57" t="s">
        <v>217</v>
      </c>
      <c r="B57" t="s">
        <v>218</v>
      </c>
      <c r="C57">
        <v>4</v>
      </c>
      <c r="D57">
        <v>14.1</v>
      </c>
      <c r="E57">
        <v>0</v>
      </c>
      <c r="F57">
        <v>99</v>
      </c>
      <c r="G57">
        <v>3</v>
      </c>
      <c r="H57">
        <v>33</v>
      </c>
      <c r="I57">
        <v>44617</v>
      </c>
      <c r="J57">
        <v>6.99</v>
      </c>
      <c r="K57">
        <v>28.33</v>
      </c>
      <c r="L57">
        <v>0</v>
      </c>
      <c r="M57">
        <f t="shared" si="3"/>
        <v>75</v>
      </c>
      <c r="N57" t="str">
        <f t="shared" si="4"/>
        <v>NA</v>
      </c>
      <c r="O57">
        <f t="shared" si="5"/>
        <v>75</v>
      </c>
      <c r="P57" t="str">
        <f>IFERROR(VLOOKUP(A57,'Batsmen 20'!$A$1:$O$68,1,0),"NA")</f>
        <v>NA</v>
      </c>
    </row>
    <row r="58" spans="1:16" x14ac:dyDescent="0.25">
      <c r="A58" t="s">
        <v>219</v>
      </c>
      <c r="B58" t="s">
        <v>220</v>
      </c>
      <c r="C58">
        <v>5</v>
      </c>
      <c r="D58">
        <v>15</v>
      </c>
      <c r="E58">
        <v>0</v>
      </c>
      <c r="F58">
        <v>134</v>
      </c>
      <c r="G58">
        <v>3</v>
      </c>
      <c r="H58">
        <v>44.67</v>
      </c>
      <c r="I58">
        <v>12451</v>
      </c>
      <c r="J58">
        <v>8.93</v>
      </c>
      <c r="K58">
        <v>30</v>
      </c>
      <c r="L58">
        <v>0</v>
      </c>
      <c r="M58">
        <f t="shared" si="3"/>
        <v>75</v>
      </c>
      <c r="N58" t="str">
        <f t="shared" si="4"/>
        <v>NA</v>
      </c>
      <c r="O58">
        <f t="shared" si="5"/>
        <v>75</v>
      </c>
      <c r="P58" t="str">
        <f>IFERROR(VLOOKUP(A58,'Batsmen 20'!$A$1:$O$68,1,0),"NA")</f>
        <v>NA</v>
      </c>
    </row>
    <row r="59" spans="1:16" x14ac:dyDescent="0.25">
      <c r="A59" t="s">
        <v>211</v>
      </c>
      <c r="B59" t="s">
        <v>212</v>
      </c>
      <c r="C59">
        <v>5</v>
      </c>
      <c r="D59">
        <v>17</v>
      </c>
      <c r="E59">
        <v>0</v>
      </c>
      <c r="F59">
        <v>192</v>
      </c>
      <c r="G59">
        <v>3</v>
      </c>
      <c r="H59">
        <v>64</v>
      </c>
      <c r="I59">
        <v>13547</v>
      </c>
      <c r="J59">
        <v>11.29</v>
      </c>
      <c r="K59">
        <v>34</v>
      </c>
      <c r="L59">
        <v>0</v>
      </c>
      <c r="M59">
        <f t="shared" si="3"/>
        <v>75</v>
      </c>
      <c r="N59">
        <f t="shared" si="4"/>
        <v>-6</v>
      </c>
      <c r="O59">
        <f t="shared" si="5"/>
        <v>69</v>
      </c>
      <c r="P59" t="str">
        <f>IFERROR(VLOOKUP(A59,'Batsmen 20'!$A$1:$O$68,1,0),"NA")</f>
        <v>NA</v>
      </c>
    </row>
    <row r="60" spans="1:16" x14ac:dyDescent="0.25">
      <c r="A60" t="s">
        <v>221</v>
      </c>
      <c r="B60" t="s">
        <v>222</v>
      </c>
      <c r="C60">
        <v>5</v>
      </c>
      <c r="D60">
        <v>18.100000000000001</v>
      </c>
      <c r="E60">
        <v>0</v>
      </c>
      <c r="F60">
        <v>208</v>
      </c>
      <c r="G60">
        <v>3</v>
      </c>
      <c r="H60">
        <v>69.33</v>
      </c>
      <c r="I60">
        <v>13516</v>
      </c>
      <c r="J60">
        <v>11.45</v>
      </c>
      <c r="K60">
        <v>36.33</v>
      </c>
      <c r="L60">
        <v>0</v>
      </c>
      <c r="M60">
        <f t="shared" si="3"/>
        <v>75</v>
      </c>
      <c r="N60">
        <f t="shared" si="4"/>
        <v>-6</v>
      </c>
      <c r="O60">
        <f t="shared" si="5"/>
        <v>69</v>
      </c>
      <c r="P60" t="str">
        <f>IFERROR(VLOOKUP(A60,'Batsmen 20'!$A$1:$O$68,1,0),"NA")</f>
        <v>NA</v>
      </c>
    </row>
    <row r="61" spans="1:16" x14ac:dyDescent="0.25">
      <c r="A61" t="s">
        <v>225</v>
      </c>
      <c r="B61" t="s">
        <v>226</v>
      </c>
      <c r="C61">
        <v>3</v>
      </c>
      <c r="D61">
        <v>11</v>
      </c>
      <c r="E61">
        <v>0</v>
      </c>
      <c r="F61">
        <v>92</v>
      </c>
      <c r="G61">
        <v>2</v>
      </c>
      <c r="H61">
        <v>46</v>
      </c>
      <c r="I61">
        <v>44573</v>
      </c>
      <c r="J61">
        <v>8.36</v>
      </c>
      <c r="K61">
        <v>33</v>
      </c>
      <c r="L61">
        <v>0</v>
      </c>
      <c r="M61">
        <f t="shared" si="3"/>
        <v>50</v>
      </c>
      <c r="N61" t="str">
        <f t="shared" si="4"/>
        <v>NA</v>
      </c>
      <c r="O61">
        <f t="shared" si="5"/>
        <v>50</v>
      </c>
      <c r="P61" t="str">
        <f>IFERROR(VLOOKUP(A61,'Batsmen 20'!$A$1:$O$68,1,0),"NA")</f>
        <v>NA</v>
      </c>
    </row>
    <row r="62" spans="1:16" x14ac:dyDescent="0.25">
      <c r="A62" t="s">
        <v>227</v>
      </c>
      <c r="B62" t="s">
        <v>228</v>
      </c>
      <c r="C62">
        <v>2</v>
      </c>
      <c r="D62">
        <v>7</v>
      </c>
      <c r="E62">
        <v>0</v>
      </c>
      <c r="F62">
        <v>53</v>
      </c>
      <c r="G62">
        <v>2</v>
      </c>
      <c r="H62">
        <v>26.5</v>
      </c>
      <c r="I62">
        <v>44584</v>
      </c>
      <c r="J62">
        <v>7.57</v>
      </c>
      <c r="K62">
        <v>21</v>
      </c>
      <c r="L62">
        <v>0</v>
      </c>
      <c r="M62">
        <f t="shared" si="3"/>
        <v>50</v>
      </c>
      <c r="N62" t="str">
        <f t="shared" si="4"/>
        <v>NA</v>
      </c>
      <c r="O62">
        <f t="shared" si="5"/>
        <v>50</v>
      </c>
      <c r="P62" t="str">
        <f>IFERROR(VLOOKUP(A62,'Batsmen 20'!$A$1:$O$68,1,0),"NA")</f>
        <v>NA</v>
      </c>
    </row>
    <row r="63" spans="1:16" x14ac:dyDescent="0.25">
      <c r="A63" t="s">
        <v>236</v>
      </c>
      <c r="B63" t="s">
        <v>179</v>
      </c>
      <c r="C63">
        <v>2</v>
      </c>
      <c r="D63">
        <v>6</v>
      </c>
      <c r="E63">
        <v>0</v>
      </c>
      <c r="F63">
        <v>44</v>
      </c>
      <c r="G63">
        <v>2</v>
      </c>
      <c r="H63">
        <v>22</v>
      </c>
      <c r="I63">
        <v>44618</v>
      </c>
      <c r="J63">
        <v>7.33</v>
      </c>
      <c r="K63">
        <v>18</v>
      </c>
      <c r="L63">
        <v>0</v>
      </c>
      <c r="M63">
        <f t="shared" si="3"/>
        <v>50</v>
      </c>
      <c r="N63" t="str">
        <f t="shared" si="4"/>
        <v>NA</v>
      </c>
      <c r="O63">
        <f t="shared" si="5"/>
        <v>50</v>
      </c>
      <c r="P63" t="str">
        <f>IFERROR(VLOOKUP(A63,'Batsmen 20'!$A$1:$O$68,1,0),"NA")</f>
        <v>NA</v>
      </c>
    </row>
    <row r="64" spans="1:16" x14ac:dyDescent="0.25">
      <c r="A64" t="s">
        <v>223</v>
      </c>
      <c r="B64" t="s">
        <v>224</v>
      </c>
      <c r="C64">
        <v>8</v>
      </c>
      <c r="D64">
        <v>10</v>
      </c>
      <c r="E64">
        <v>0</v>
      </c>
      <c r="F64">
        <v>91</v>
      </c>
      <c r="G64">
        <v>2</v>
      </c>
      <c r="H64">
        <v>45.5</v>
      </c>
      <c r="I64">
        <v>44576</v>
      </c>
      <c r="J64">
        <v>9.1</v>
      </c>
      <c r="K64">
        <v>30</v>
      </c>
      <c r="L64">
        <v>0</v>
      </c>
      <c r="M64">
        <f t="shared" si="3"/>
        <v>50</v>
      </c>
      <c r="N64">
        <f t="shared" si="4"/>
        <v>-2</v>
      </c>
      <c r="O64">
        <f t="shared" si="5"/>
        <v>48</v>
      </c>
      <c r="P64" t="str">
        <f>IFERROR(VLOOKUP(A64,'Batsmen 20'!$A$1:$O$68,1,0),"NA")</f>
        <v>NA</v>
      </c>
    </row>
    <row r="65" spans="1:16" x14ac:dyDescent="0.25">
      <c r="A65" t="s">
        <v>233</v>
      </c>
      <c r="B65" t="s">
        <v>234</v>
      </c>
      <c r="C65">
        <v>5</v>
      </c>
      <c r="D65">
        <v>15</v>
      </c>
      <c r="E65">
        <v>0</v>
      </c>
      <c r="F65">
        <v>148</v>
      </c>
      <c r="G65">
        <v>2</v>
      </c>
      <c r="H65">
        <v>74</v>
      </c>
      <c r="I65">
        <v>44578</v>
      </c>
      <c r="J65">
        <v>9.8699999999999992</v>
      </c>
      <c r="K65">
        <v>45</v>
      </c>
      <c r="L65">
        <v>0</v>
      </c>
      <c r="M65">
        <f t="shared" si="3"/>
        <v>50</v>
      </c>
      <c r="N65">
        <f t="shared" si="4"/>
        <v>-2</v>
      </c>
      <c r="O65">
        <f t="shared" si="5"/>
        <v>48</v>
      </c>
      <c r="P65" t="str">
        <f>IFERROR(VLOOKUP(A65,'Batsmen 20'!$A$1:$O$68,1,0),"NA")</f>
        <v>NA</v>
      </c>
    </row>
    <row r="66" spans="1:16" x14ac:dyDescent="0.25">
      <c r="A66" t="s">
        <v>87</v>
      </c>
      <c r="B66" t="s">
        <v>235</v>
      </c>
      <c r="C66">
        <v>8</v>
      </c>
      <c r="D66">
        <v>15</v>
      </c>
      <c r="E66">
        <v>0</v>
      </c>
      <c r="F66">
        <v>154</v>
      </c>
      <c r="G66">
        <v>2</v>
      </c>
      <c r="H66">
        <v>77</v>
      </c>
      <c r="I66">
        <v>11720</v>
      </c>
      <c r="J66">
        <v>10.27</v>
      </c>
      <c r="K66">
        <v>45</v>
      </c>
      <c r="L66">
        <v>0</v>
      </c>
      <c r="M66">
        <f t="shared" ref="M66:M68" si="6">((G66*25)+(L66*8)+(E66*8))</f>
        <v>50</v>
      </c>
      <c r="N66">
        <f t="shared" si="4"/>
        <v>-4</v>
      </c>
      <c r="O66">
        <f t="shared" ref="O66:O68" si="7">IFERROR(M66+N66,M66)</f>
        <v>46</v>
      </c>
      <c r="P66" t="str">
        <f>IFERROR(VLOOKUP(A66,'Batsmen 20'!$A$1:$O$68,1,0),"NA")</f>
        <v>B A Stokes</v>
      </c>
    </row>
    <row r="67" spans="1:16" x14ac:dyDescent="0.25">
      <c r="A67" t="s">
        <v>229</v>
      </c>
      <c r="B67" t="s">
        <v>230</v>
      </c>
      <c r="C67">
        <v>6</v>
      </c>
      <c r="D67">
        <v>17</v>
      </c>
      <c r="E67">
        <v>0</v>
      </c>
      <c r="F67">
        <v>199</v>
      </c>
      <c r="G67">
        <v>2</v>
      </c>
      <c r="H67">
        <v>99.5</v>
      </c>
      <c r="I67">
        <v>14246</v>
      </c>
      <c r="J67">
        <v>11.71</v>
      </c>
      <c r="K67">
        <v>51</v>
      </c>
      <c r="L67">
        <v>0</v>
      </c>
      <c r="M67">
        <f t="shared" si="6"/>
        <v>50</v>
      </c>
      <c r="N67">
        <f t="shared" si="4"/>
        <v>-6</v>
      </c>
      <c r="O67">
        <f t="shared" si="7"/>
        <v>44</v>
      </c>
      <c r="P67" t="str">
        <f>IFERROR(VLOOKUP(A67,'Batsmen 20'!$A$1:$O$68,1,0),"NA")</f>
        <v>NA</v>
      </c>
    </row>
    <row r="68" spans="1:16" x14ac:dyDescent="0.25">
      <c r="A68" t="s">
        <v>231</v>
      </c>
      <c r="B68" t="s">
        <v>232</v>
      </c>
      <c r="C68">
        <v>1</v>
      </c>
      <c r="D68">
        <v>4</v>
      </c>
      <c r="E68">
        <v>0</v>
      </c>
      <c r="F68">
        <v>64</v>
      </c>
      <c r="G68">
        <v>2</v>
      </c>
      <c r="H68">
        <v>32</v>
      </c>
      <c r="I68">
        <v>23408</v>
      </c>
      <c r="J68">
        <v>16</v>
      </c>
      <c r="K68">
        <v>12</v>
      </c>
      <c r="L68">
        <v>0</v>
      </c>
      <c r="M68">
        <f t="shared" si="6"/>
        <v>50</v>
      </c>
      <c r="N68">
        <f t="shared" si="4"/>
        <v>-6</v>
      </c>
      <c r="O68">
        <f t="shared" si="7"/>
        <v>44</v>
      </c>
      <c r="P68" t="str">
        <f>IFERROR(VLOOKUP(A68,'Batsmen 20'!$A$1:$O$68,1,0),"NA")</f>
        <v>NA</v>
      </c>
    </row>
  </sheetData>
  <sortState ref="A2:P68">
    <sortCondition descending="1" ref="O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T41"/>
  <sheetViews>
    <sheetView workbookViewId="0">
      <selection activeCell="S21" sqref="S21:S22"/>
    </sheetView>
  </sheetViews>
  <sheetFormatPr defaultRowHeight="15" x14ac:dyDescent="0.25"/>
  <cols>
    <col min="1" max="1" width="12" bestFit="1" customWidth="1"/>
    <col min="2" max="2" width="17.85546875" bestFit="1" customWidth="1"/>
    <col min="14" max="14" width="24.28515625" bestFit="1" customWidth="1"/>
    <col min="15" max="15" width="16.5703125" bestFit="1" customWidth="1"/>
    <col min="16" max="16" width="19.5703125" bestFit="1" customWidth="1"/>
    <col min="17" max="17" width="4.85546875" customWidth="1"/>
    <col min="18" max="18" width="19.5703125" bestFit="1" customWidth="1"/>
    <col min="19" max="19" width="12" bestFit="1" customWidth="1"/>
    <col min="20" max="20" width="17.85546875" bestFit="1" customWidth="1"/>
  </cols>
  <sheetData>
    <row r="4" spans="1:20" ht="15.75" thickBot="1" x14ac:dyDescent="0.3"/>
    <row r="5" spans="1:20" ht="19.5" thickBot="1" x14ac:dyDescent="0.35">
      <c r="A5" s="1" t="s">
        <v>35</v>
      </c>
      <c r="B5" s="1" t="s">
        <v>36</v>
      </c>
      <c r="C5" s="1" t="s">
        <v>37</v>
      </c>
      <c r="D5" s="1" t="s">
        <v>38</v>
      </c>
      <c r="E5" s="1" t="s">
        <v>39</v>
      </c>
      <c r="F5" s="1" t="s">
        <v>40</v>
      </c>
      <c r="G5" s="1" t="s">
        <v>41</v>
      </c>
      <c r="H5" s="1" t="s">
        <v>42</v>
      </c>
      <c r="I5" s="1" t="s">
        <v>43</v>
      </c>
      <c r="J5" s="1" t="s">
        <v>44</v>
      </c>
      <c r="K5" s="1" t="s">
        <v>45</v>
      </c>
      <c r="L5" s="1" t="s">
        <v>46</v>
      </c>
      <c r="M5" s="1" t="s">
        <v>47</v>
      </c>
      <c r="N5" s="1" t="s">
        <v>111</v>
      </c>
      <c r="O5" s="1" t="s">
        <v>239</v>
      </c>
      <c r="P5" s="1" t="s">
        <v>112</v>
      </c>
      <c r="Q5" s="1"/>
      <c r="R5" s="43" t="s">
        <v>113</v>
      </c>
      <c r="S5" s="44" t="s">
        <v>36</v>
      </c>
      <c r="T5" s="45" t="s">
        <v>294</v>
      </c>
    </row>
    <row r="6" spans="1:20" x14ac:dyDescent="0.25">
      <c r="A6" t="s">
        <v>77</v>
      </c>
      <c r="B6" t="s">
        <v>52</v>
      </c>
      <c r="C6">
        <v>17</v>
      </c>
      <c r="D6">
        <v>17</v>
      </c>
      <c r="E6">
        <v>3</v>
      </c>
      <c r="F6">
        <v>352</v>
      </c>
      <c r="G6">
        <v>65</v>
      </c>
      <c r="H6">
        <v>0</v>
      </c>
      <c r="I6">
        <v>3</v>
      </c>
      <c r="J6">
        <v>25.14</v>
      </c>
      <c r="K6">
        <v>148.52000000000001</v>
      </c>
      <c r="L6">
        <v>31</v>
      </c>
      <c r="M6">
        <v>16</v>
      </c>
      <c r="N6">
        <f t="shared" ref="N6:N13" si="0">((F6*1)+(H6*16) +(I6*8)+(L6*1)+(M6*2))</f>
        <v>439</v>
      </c>
      <c r="O6" t="str">
        <f t="shared" ref="O6:O13" si="1">IF(AND(K6&gt;=60,K6&lt;=70),-1,IF(AND(K6&gt;=50,K6&lt;=59.9),-4,IF(K6&lt;50,-6,"NA")))</f>
        <v>NA</v>
      </c>
      <c r="P6">
        <f t="shared" ref="P6:P13" si="2">IFERROR(N6+O6,N6)</f>
        <v>439</v>
      </c>
      <c r="R6" s="40" t="str">
        <f>IFERROR(VLOOKUP(A6,'Bowlers 20'!$A$1:$O$51,1,0),"NA")</f>
        <v>M P Stoinis</v>
      </c>
      <c r="S6" s="41" t="s">
        <v>52</v>
      </c>
      <c r="T6" s="42">
        <f>N6+O20</f>
        <v>762</v>
      </c>
    </row>
    <row r="7" spans="1:20" x14ac:dyDescent="0.25">
      <c r="A7" t="s">
        <v>92</v>
      </c>
      <c r="B7" t="s">
        <v>74</v>
      </c>
      <c r="C7">
        <v>14</v>
      </c>
      <c r="D7">
        <v>11</v>
      </c>
      <c r="E7">
        <v>5</v>
      </c>
      <c r="F7">
        <v>255</v>
      </c>
      <c r="G7">
        <v>53</v>
      </c>
      <c r="H7">
        <v>0</v>
      </c>
      <c r="I7">
        <v>1</v>
      </c>
      <c r="J7">
        <v>42.5</v>
      </c>
      <c r="K7">
        <v>139.34</v>
      </c>
      <c r="L7">
        <v>13</v>
      </c>
      <c r="M7">
        <v>17</v>
      </c>
      <c r="N7">
        <f t="shared" si="0"/>
        <v>310</v>
      </c>
      <c r="O7" t="str">
        <f t="shared" si="1"/>
        <v>NA</v>
      </c>
      <c r="P7">
        <f t="shared" si="2"/>
        <v>310</v>
      </c>
      <c r="R7" s="35" t="str">
        <f>IFERROR(VLOOKUP(A7,'Bowlers 20'!$A$1:$O$51,1,0),"NA")</f>
        <v>R Tewatia</v>
      </c>
      <c r="S7" s="32" t="s">
        <v>74</v>
      </c>
      <c r="T7" s="36">
        <f>P7+O22</f>
        <v>560</v>
      </c>
    </row>
    <row r="8" spans="1:20" x14ac:dyDescent="0.25">
      <c r="A8" t="s">
        <v>93</v>
      </c>
      <c r="B8" t="s">
        <v>66</v>
      </c>
      <c r="C8">
        <v>14</v>
      </c>
      <c r="D8">
        <v>11</v>
      </c>
      <c r="E8">
        <v>6</v>
      </c>
      <c r="F8">
        <v>232</v>
      </c>
      <c r="G8">
        <v>50</v>
      </c>
      <c r="H8">
        <v>0</v>
      </c>
      <c r="I8">
        <v>1</v>
      </c>
      <c r="J8">
        <v>46.4</v>
      </c>
      <c r="K8">
        <v>171.85</v>
      </c>
      <c r="L8">
        <v>22</v>
      </c>
      <c r="M8">
        <v>11</v>
      </c>
      <c r="N8">
        <f t="shared" si="0"/>
        <v>284</v>
      </c>
      <c r="O8" t="str">
        <f t="shared" si="1"/>
        <v>NA</v>
      </c>
      <c r="P8">
        <f t="shared" si="2"/>
        <v>284</v>
      </c>
      <c r="R8" s="35" t="str">
        <f>IFERROR(VLOOKUP(A8,'Bowlers 20'!$A$1:$O$51,1,0),"NA")</f>
        <v>R A Jadeja</v>
      </c>
      <c r="S8" s="32" t="s">
        <v>66</v>
      </c>
      <c r="T8" s="36">
        <f>+P8+O25</f>
        <v>434</v>
      </c>
    </row>
    <row r="9" spans="1:20" x14ac:dyDescent="0.25">
      <c r="A9" t="s">
        <v>100</v>
      </c>
      <c r="B9" t="s">
        <v>66</v>
      </c>
      <c r="C9">
        <v>14</v>
      </c>
      <c r="D9">
        <v>11</v>
      </c>
      <c r="E9">
        <v>3</v>
      </c>
      <c r="F9">
        <v>186</v>
      </c>
      <c r="G9">
        <v>52</v>
      </c>
      <c r="H9">
        <v>0</v>
      </c>
      <c r="I9">
        <v>1</v>
      </c>
      <c r="J9">
        <v>23.25</v>
      </c>
      <c r="K9">
        <v>131.91</v>
      </c>
      <c r="L9">
        <v>12</v>
      </c>
      <c r="M9">
        <v>12</v>
      </c>
      <c r="N9">
        <f t="shared" si="0"/>
        <v>230</v>
      </c>
      <c r="O9" t="str">
        <f t="shared" si="1"/>
        <v>NA</v>
      </c>
      <c r="P9">
        <f t="shared" si="2"/>
        <v>230</v>
      </c>
      <c r="R9" s="35" t="str">
        <f>IFERROR(VLOOKUP(A9,'Bowlers 20'!$A$1:$O$51,1,0),"NA")</f>
        <v>S M Curran</v>
      </c>
      <c r="S9" s="32" t="s">
        <v>66</v>
      </c>
      <c r="T9" s="36">
        <f>+P9+O19</f>
        <v>555</v>
      </c>
    </row>
    <row r="10" spans="1:20" x14ac:dyDescent="0.25">
      <c r="A10" t="s">
        <v>103</v>
      </c>
      <c r="B10" t="s">
        <v>68</v>
      </c>
      <c r="C10">
        <v>14</v>
      </c>
      <c r="D10">
        <v>11</v>
      </c>
      <c r="E10">
        <v>4</v>
      </c>
      <c r="F10">
        <v>146</v>
      </c>
      <c r="G10">
        <v>53</v>
      </c>
      <c r="H10">
        <v>0</v>
      </c>
      <c r="I10">
        <v>1</v>
      </c>
      <c r="J10">
        <v>20.86</v>
      </c>
      <c r="K10">
        <v>128.07</v>
      </c>
      <c r="L10">
        <v>9</v>
      </c>
      <c r="M10">
        <v>8</v>
      </c>
      <c r="N10">
        <f t="shared" si="0"/>
        <v>179</v>
      </c>
      <c r="O10" t="str">
        <f t="shared" si="1"/>
        <v>NA</v>
      </c>
      <c r="P10">
        <f t="shared" si="2"/>
        <v>179</v>
      </c>
      <c r="R10" s="35" t="str">
        <f>IFERROR(VLOOKUP(A10,'Bowlers 20'!$A$1:$O$51,1,0),"NA")</f>
        <v>P J Cummins</v>
      </c>
      <c r="S10" s="32" t="s">
        <v>68</v>
      </c>
      <c r="T10" s="36">
        <f>P10+O21</f>
        <v>487</v>
      </c>
    </row>
    <row r="11" spans="1:20" x14ac:dyDescent="0.25">
      <c r="A11" t="s">
        <v>108</v>
      </c>
      <c r="B11" t="s">
        <v>68</v>
      </c>
      <c r="C11">
        <v>10</v>
      </c>
      <c r="D11">
        <v>9</v>
      </c>
      <c r="E11">
        <v>0</v>
      </c>
      <c r="F11">
        <v>121</v>
      </c>
      <c r="G11">
        <v>64</v>
      </c>
      <c r="H11">
        <v>0</v>
      </c>
      <c r="I11">
        <v>1</v>
      </c>
      <c r="J11">
        <v>13.44</v>
      </c>
      <c r="K11">
        <v>142.35</v>
      </c>
      <c r="L11">
        <v>10</v>
      </c>
      <c r="M11">
        <v>8</v>
      </c>
      <c r="N11">
        <f t="shared" si="0"/>
        <v>155</v>
      </c>
      <c r="O11" t="str">
        <f t="shared" si="1"/>
        <v>NA</v>
      </c>
      <c r="P11">
        <f t="shared" si="2"/>
        <v>155</v>
      </c>
      <c r="R11" s="35" t="str">
        <f>IFERROR(VLOOKUP(A11,'Bowlers 20'!$A$1:$O$51,1,0),"NA")</f>
        <v>S P Narine</v>
      </c>
      <c r="S11" s="32" t="s">
        <v>68</v>
      </c>
      <c r="T11" s="36">
        <f>P11+O26</f>
        <v>280</v>
      </c>
    </row>
    <row r="12" spans="1:20" x14ac:dyDescent="0.25">
      <c r="A12" t="s">
        <v>109</v>
      </c>
      <c r="B12" t="s">
        <v>52</v>
      </c>
      <c r="C12">
        <v>15</v>
      </c>
      <c r="D12">
        <v>9</v>
      </c>
      <c r="E12">
        <v>1</v>
      </c>
      <c r="F12">
        <v>117</v>
      </c>
      <c r="G12">
        <v>42</v>
      </c>
      <c r="H12">
        <v>0</v>
      </c>
      <c r="I12">
        <v>0</v>
      </c>
      <c r="J12">
        <v>14.63</v>
      </c>
      <c r="K12">
        <v>137.65</v>
      </c>
      <c r="L12">
        <v>6</v>
      </c>
      <c r="M12">
        <v>8</v>
      </c>
      <c r="N12">
        <f t="shared" si="0"/>
        <v>139</v>
      </c>
      <c r="O12" t="str">
        <f t="shared" si="1"/>
        <v>NA</v>
      </c>
      <c r="P12">
        <f t="shared" si="2"/>
        <v>139</v>
      </c>
      <c r="R12" s="35" t="str">
        <f>IFERROR(VLOOKUP(A12,'Bowlers 20'!$A$1:$O$51,1,0),"NA")</f>
        <v>A R Patel</v>
      </c>
      <c r="S12" s="32" t="s">
        <v>52</v>
      </c>
      <c r="T12" s="36">
        <f>P12+O23</f>
        <v>364</v>
      </c>
    </row>
    <row r="13" spans="1:20" ht="15.75" thickBot="1" x14ac:dyDescent="0.3">
      <c r="A13" t="s">
        <v>110</v>
      </c>
      <c r="B13" t="s">
        <v>68</v>
      </c>
      <c r="C13">
        <v>10</v>
      </c>
      <c r="D13">
        <v>9</v>
      </c>
      <c r="E13">
        <v>0</v>
      </c>
      <c r="F13">
        <v>117</v>
      </c>
      <c r="G13">
        <v>25</v>
      </c>
      <c r="H13">
        <v>0</v>
      </c>
      <c r="I13">
        <v>0</v>
      </c>
      <c r="J13">
        <v>13</v>
      </c>
      <c r="K13">
        <v>144.44</v>
      </c>
      <c r="L13">
        <v>9</v>
      </c>
      <c r="M13">
        <v>9</v>
      </c>
      <c r="N13">
        <f t="shared" si="0"/>
        <v>144</v>
      </c>
      <c r="O13" t="str">
        <f t="shared" si="1"/>
        <v>NA</v>
      </c>
      <c r="P13">
        <f t="shared" si="2"/>
        <v>144</v>
      </c>
      <c r="R13" s="37" t="str">
        <f>IFERROR(VLOOKUP(A13,'Bowlers 20'!$A$1:$O$51,1,0),"NA")</f>
        <v>A D Russell</v>
      </c>
      <c r="S13" s="38" t="s">
        <v>68</v>
      </c>
      <c r="T13" s="39">
        <f>P13+O24</f>
        <v>292</v>
      </c>
    </row>
    <row r="18" spans="1:17" ht="18.75" x14ac:dyDescent="0.3">
      <c r="A18" s="1" t="s">
        <v>35</v>
      </c>
      <c r="B18" s="1" t="s">
        <v>36</v>
      </c>
      <c r="C18" s="1" t="s">
        <v>114</v>
      </c>
      <c r="D18" s="1" t="s">
        <v>115</v>
      </c>
      <c r="E18" s="1" t="s">
        <v>116</v>
      </c>
      <c r="F18" s="1" t="s">
        <v>40</v>
      </c>
      <c r="G18" s="1" t="s">
        <v>117</v>
      </c>
      <c r="H18" s="1" t="s">
        <v>44</v>
      </c>
      <c r="I18" s="1" t="s">
        <v>118</v>
      </c>
      <c r="J18" s="1" t="s">
        <v>119</v>
      </c>
      <c r="K18" s="1" t="s">
        <v>45</v>
      </c>
      <c r="L18" s="1" t="s">
        <v>120</v>
      </c>
      <c r="M18" s="1" t="s">
        <v>238</v>
      </c>
      <c r="N18" s="1" t="s">
        <v>237</v>
      </c>
      <c r="O18" s="1" t="s">
        <v>112</v>
      </c>
      <c r="P18" s="1" t="s">
        <v>113</v>
      </c>
      <c r="Q18" s="1"/>
    </row>
    <row r="19" spans="1:17" x14ac:dyDescent="0.25">
      <c r="A19" t="s">
        <v>100</v>
      </c>
      <c r="B19" t="s">
        <v>148</v>
      </c>
      <c r="C19">
        <v>14</v>
      </c>
      <c r="D19">
        <v>42</v>
      </c>
      <c r="E19">
        <v>0</v>
      </c>
      <c r="F19">
        <v>344</v>
      </c>
      <c r="G19">
        <v>13</v>
      </c>
      <c r="H19">
        <v>26.46</v>
      </c>
      <c r="I19">
        <v>44639</v>
      </c>
      <c r="J19">
        <v>8.19</v>
      </c>
      <c r="K19">
        <v>19.38</v>
      </c>
      <c r="L19">
        <v>0</v>
      </c>
      <c r="M19">
        <f t="shared" ref="M19:M29" si="3">((G19*25)+(L19*8)+(E19*8))</f>
        <v>325</v>
      </c>
      <c r="N19" t="str">
        <f t="shared" ref="N19:N29" si="4">IF(J19&lt;4,6,IF(AND(J19&gt;=4,J19&lt;=4.99),4,IF(AND(J19&gt;=5,J19&lt;=6),2,IF(AND(J19&gt;=9,J19&lt;=10),-2,IF(AND(J19&gt;=10.01,J19&lt;=11),-4,IF(J19&gt;11,-6,"NA"))))))</f>
        <v>NA</v>
      </c>
      <c r="O19">
        <f t="shared" ref="O19:O29" si="5">IFERROR(M19+N19,M19)</f>
        <v>325</v>
      </c>
      <c r="P19" t="str">
        <f>IFERROR(VLOOKUP(A19,'Batsmen 20'!$A$1:$O$68,1,0),"NA")</f>
        <v>S M Curran</v>
      </c>
    </row>
    <row r="20" spans="1:17" x14ac:dyDescent="0.25">
      <c r="A20" t="s">
        <v>77</v>
      </c>
      <c r="B20" t="s">
        <v>149</v>
      </c>
      <c r="C20">
        <v>17</v>
      </c>
      <c r="D20">
        <v>29.4</v>
      </c>
      <c r="E20">
        <v>0</v>
      </c>
      <c r="F20">
        <v>283</v>
      </c>
      <c r="G20">
        <v>13</v>
      </c>
      <c r="H20">
        <v>21.77</v>
      </c>
      <c r="I20">
        <v>44646</v>
      </c>
      <c r="J20">
        <v>9.5399999999999991</v>
      </c>
      <c r="K20">
        <v>13.69</v>
      </c>
      <c r="L20">
        <v>0</v>
      </c>
      <c r="M20">
        <f t="shared" si="3"/>
        <v>325</v>
      </c>
      <c r="N20">
        <f t="shared" si="4"/>
        <v>-2</v>
      </c>
      <c r="O20">
        <f t="shared" si="5"/>
        <v>323</v>
      </c>
      <c r="P20" t="str">
        <f>IFERROR(VLOOKUP(A20,'Batsmen 20'!$A$1:$O$68,1,0),"NA")</f>
        <v>M P Stoinis</v>
      </c>
    </row>
    <row r="21" spans="1:17" x14ac:dyDescent="0.25">
      <c r="A21" t="s">
        <v>103</v>
      </c>
      <c r="B21" t="s">
        <v>152</v>
      </c>
      <c r="C21">
        <v>14</v>
      </c>
      <c r="D21">
        <v>52</v>
      </c>
      <c r="E21">
        <v>0</v>
      </c>
      <c r="F21">
        <v>409</v>
      </c>
      <c r="G21">
        <v>12</v>
      </c>
      <c r="H21">
        <v>34.08</v>
      </c>
      <c r="I21">
        <v>12510</v>
      </c>
      <c r="J21">
        <v>7.87</v>
      </c>
      <c r="K21">
        <v>26</v>
      </c>
      <c r="L21">
        <v>1</v>
      </c>
      <c r="M21">
        <f t="shared" si="3"/>
        <v>308</v>
      </c>
      <c r="N21" t="str">
        <f t="shared" si="4"/>
        <v>NA</v>
      </c>
      <c r="O21">
        <f t="shared" si="5"/>
        <v>308</v>
      </c>
      <c r="P21" t="str">
        <f>IFERROR(VLOOKUP(A21,'Batsmen 20'!$A$1:$O$68,1,0),"NA")</f>
        <v>P J Cummins</v>
      </c>
    </row>
    <row r="22" spans="1:17" x14ac:dyDescent="0.25">
      <c r="A22" t="s">
        <v>92</v>
      </c>
      <c r="B22" t="s">
        <v>166</v>
      </c>
      <c r="C22">
        <v>14</v>
      </c>
      <c r="D22">
        <v>46</v>
      </c>
      <c r="E22">
        <v>0</v>
      </c>
      <c r="F22">
        <v>326</v>
      </c>
      <c r="G22">
        <v>10</v>
      </c>
      <c r="H22">
        <v>32.6</v>
      </c>
      <c r="I22">
        <v>44645</v>
      </c>
      <c r="J22">
        <v>7.09</v>
      </c>
      <c r="K22">
        <v>27.6</v>
      </c>
      <c r="L22">
        <v>0</v>
      </c>
      <c r="M22">
        <f t="shared" si="3"/>
        <v>250</v>
      </c>
      <c r="N22" t="str">
        <f t="shared" si="4"/>
        <v>NA</v>
      </c>
      <c r="O22">
        <f t="shared" si="5"/>
        <v>250</v>
      </c>
      <c r="P22" t="str">
        <f>IFERROR(VLOOKUP(A22,'Batsmen 20'!$A$1:$O$68,1,0),"NA")</f>
        <v>R Tewatia</v>
      </c>
    </row>
    <row r="23" spans="1:17" x14ac:dyDescent="0.25">
      <c r="A23" t="s">
        <v>109</v>
      </c>
      <c r="B23" t="s">
        <v>167</v>
      </c>
      <c r="C23">
        <v>15</v>
      </c>
      <c r="D23">
        <v>51</v>
      </c>
      <c r="E23">
        <v>0</v>
      </c>
      <c r="F23">
        <v>327</v>
      </c>
      <c r="G23">
        <v>9</v>
      </c>
      <c r="H23">
        <v>36.33</v>
      </c>
      <c r="I23">
        <v>44610</v>
      </c>
      <c r="J23">
        <v>6.41</v>
      </c>
      <c r="K23">
        <v>34</v>
      </c>
      <c r="L23">
        <v>0</v>
      </c>
      <c r="M23">
        <f t="shared" si="3"/>
        <v>225</v>
      </c>
      <c r="N23" t="str">
        <f t="shared" si="4"/>
        <v>NA</v>
      </c>
      <c r="O23">
        <f t="shared" si="5"/>
        <v>225</v>
      </c>
      <c r="P23" t="str">
        <f>IFERROR(VLOOKUP(A23,'Batsmen 20'!$A$1:$O$68,1,0),"NA")</f>
        <v>A R Patel</v>
      </c>
    </row>
    <row r="24" spans="1:17" x14ac:dyDescent="0.25">
      <c r="A24" t="s">
        <v>110</v>
      </c>
      <c r="B24" t="s">
        <v>191</v>
      </c>
      <c r="C24">
        <v>10</v>
      </c>
      <c r="D24">
        <v>18</v>
      </c>
      <c r="E24">
        <v>0</v>
      </c>
      <c r="F24">
        <v>175</v>
      </c>
      <c r="G24">
        <v>6</v>
      </c>
      <c r="H24">
        <v>29.17</v>
      </c>
      <c r="I24">
        <v>47150</v>
      </c>
      <c r="J24">
        <v>9.7200000000000006</v>
      </c>
      <c r="K24">
        <v>18</v>
      </c>
      <c r="L24">
        <v>0</v>
      </c>
      <c r="M24">
        <f t="shared" si="3"/>
        <v>150</v>
      </c>
      <c r="N24">
        <f t="shared" si="4"/>
        <v>-2</v>
      </c>
      <c r="O24">
        <f t="shared" si="5"/>
        <v>148</v>
      </c>
      <c r="P24" t="str">
        <f>IFERROR(VLOOKUP(A24,'Batsmen 20'!$A$1:$O$68,1,0),"NA")</f>
        <v>A D Russell</v>
      </c>
    </row>
    <row r="25" spans="1:17" x14ac:dyDescent="0.25">
      <c r="A25" t="s">
        <v>93</v>
      </c>
      <c r="B25" t="s">
        <v>192</v>
      </c>
      <c r="C25">
        <v>14</v>
      </c>
      <c r="D25">
        <v>36.200000000000003</v>
      </c>
      <c r="E25">
        <v>0</v>
      </c>
      <c r="F25">
        <v>318</v>
      </c>
      <c r="G25">
        <v>6</v>
      </c>
      <c r="H25">
        <v>53</v>
      </c>
      <c r="I25">
        <v>15373</v>
      </c>
      <c r="J25">
        <v>8.75</v>
      </c>
      <c r="K25">
        <v>36.33</v>
      </c>
      <c r="L25">
        <v>0</v>
      </c>
      <c r="M25">
        <f t="shared" si="3"/>
        <v>150</v>
      </c>
      <c r="N25" t="str">
        <f t="shared" si="4"/>
        <v>NA</v>
      </c>
      <c r="O25">
        <f t="shared" si="5"/>
        <v>150</v>
      </c>
      <c r="P25" t="str">
        <f>IFERROR(VLOOKUP(A25,'Batsmen 20'!$A$1:$O$68,1,0),"NA")</f>
        <v>R A Jadeja</v>
      </c>
    </row>
    <row r="26" spans="1:17" x14ac:dyDescent="0.25">
      <c r="A26" t="s">
        <v>108</v>
      </c>
      <c r="B26" t="s">
        <v>171</v>
      </c>
      <c r="C26">
        <v>10</v>
      </c>
      <c r="D26">
        <v>38</v>
      </c>
      <c r="E26">
        <v>0</v>
      </c>
      <c r="F26">
        <v>302</v>
      </c>
      <c r="G26">
        <v>5</v>
      </c>
      <c r="H26">
        <v>60.4</v>
      </c>
      <c r="I26">
        <v>44620</v>
      </c>
      <c r="J26">
        <v>7.95</v>
      </c>
      <c r="K26">
        <v>45.6</v>
      </c>
      <c r="L26">
        <v>0</v>
      </c>
      <c r="M26">
        <f t="shared" si="3"/>
        <v>125</v>
      </c>
      <c r="N26" t="str">
        <f t="shared" si="4"/>
        <v>NA</v>
      </c>
      <c r="O26">
        <f t="shared" si="5"/>
        <v>125</v>
      </c>
      <c r="P26" t="str">
        <f>IFERROR(VLOOKUP(A26,'Batsmen 20'!$A$1:$O$68,1,0),"NA")</f>
        <v>S P Narine</v>
      </c>
    </row>
    <row r="27" spans="1:17" x14ac:dyDescent="0.25">
      <c r="A27" t="s">
        <v>90</v>
      </c>
      <c r="B27" t="s">
        <v>124</v>
      </c>
      <c r="C27">
        <v>16</v>
      </c>
      <c r="D27">
        <v>21</v>
      </c>
      <c r="E27">
        <v>0</v>
      </c>
      <c r="F27">
        <v>190</v>
      </c>
      <c r="G27">
        <v>4</v>
      </c>
      <c r="H27">
        <v>47.5</v>
      </c>
      <c r="I27">
        <v>44566</v>
      </c>
      <c r="J27">
        <v>9.0500000000000007</v>
      </c>
      <c r="K27">
        <v>31.5</v>
      </c>
      <c r="L27">
        <v>0</v>
      </c>
      <c r="M27">
        <f t="shared" si="3"/>
        <v>100</v>
      </c>
      <c r="N27">
        <f t="shared" si="4"/>
        <v>-2</v>
      </c>
      <c r="O27">
        <f t="shared" si="5"/>
        <v>98</v>
      </c>
      <c r="P27" t="str">
        <f>IFERROR(VLOOKUP(A27,'Batsmen 20'!$A$1:$O$68,1,0),"NA")</f>
        <v>K A Pollard</v>
      </c>
    </row>
    <row r="28" spans="1:17" x14ac:dyDescent="0.25">
      <c r="A28" t="s">
        <v>107</v>
      </c>
      <c r="B28" t="s">
        <v>210</v>
      </c>
      <c r="C28">
        <v>11</v>
      </c>
      <c r="D28">
        <v>9</v>
      </c>
      <c r="E28">
        <v>0</v>
      </c>
      <c r="F28">
        <v>73</v>
      </c>
      <c r="G28">
        <v>4</v>
      </c>
      <c r="H28">
        <v>18.25</v>
      </c>
      <c r="I28">
        <v>44607</v>
      </c>
      <c r="J28">
        <v>8.11</v>
      </c>
      <c r="K28">
        <v>13.5</v>
      </c>
      <c r="L28">
        <v>0</v>
      </c>
      <c r="M28">
        <f t="shared" si="3"/>
        <v>100</v>
      </c>
      <c r="N28" t="str">
        <f t="shared" si="4"/>
        <v>NA</v>
      </c>
      <c r="O28">
        <f t="shared" si="5"/>
        <v>100</v>
      </c>
      <c r="P28" t="str">
        <f>IFERROR(VLOOKUP(A28,'Batsmen 20'!$A$1:$O$68,1,0),"NA")</f>
        <v>S Dube</v>
      </c>
    </row>
    <row r="29" spans="1:17" x14ac:dyDescent="0.25">
      <c r="A29" t="s">
        <v>87</v>
      </c>
      <c r="B29" t="s">
        <v>235</v>
      </c>
      <c r="C29">
        <v>8</v>
      </c>
      <c r="D29">
        <v>15</v>
      </c>
      <c r="E29">
        <v>0</v>
      </c>
      <c r="F29">
        <v>154</v>
      </c>
      <c r="G29">
        <v>2</v>
      </c>
      <c r="H29">
        <v>77</v>
      </c>
      <c r="I29">
        <v>11720</v>
      </c>
      <c r="J29">
        <v>10.27</v>
      </c>
      <c r="K29">
        <v>45</v>
      </c>
      <c r="L29">
        <v>0</v>
      </c>
      <c r="M29">
        <f t="shared" si="3"/>
        <v>50</v>
      </c>
      <c r="N29">
        <f t="shared" si="4"/>
        <v>-4</v>
      </c>
      <c r="O29">
        <f t="shared" si="5"/>
        <v>46</v>
      </c>
      <c r="P29" t="str">
        <f>IFERROR(VLOOKUP(A29,'Batsmen 20'!$A$1:$O$68,1,0),"NA")</f>
        <v>B A Stokes</v>
      </c>
    </row>
    <row r="41" spans="1:17" ht="18.75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51"/>
  <sheetViews>
    <sheetView workbookViewId="0">
      <selection sqref="A1:Q12"/>
    </sheetView>
  </sheetViews>
  <sheetFormatPr defaultRowHeight="15" x14ac:dyDescent="0.25"/>
  <cols>
    <col min="1" max="1" width="16.28515625" bestFit="1" customWidth="1"/>
    <col min="2" max="2" width="10.5703125" bestFit="1" customWidth="1"/>
    <col min="3" max="3" width="11.140625" bestFit="1" customWidth="1"/>
    <col min="4" max="4" width="9.28515625" customWidth="1"/>
    <col min="14" max="14" width="9.7109375" bestFit="1" customWidth="1"/>
    <col min="15" max="15" width="16.5703125" bestFit="1" customWidth="1"/>
    <col min="17" max="17" width="19.5703125" bestFit="1" customWidth="1"/>
  </cols>
  <sheetData>
    <row r="1" spans="1:17" ht="18.75" x14ac:dyDescent="0.3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  <c r="F1" s="1" t="s">
        <v>40</v>
      </c>
      <c r="G1" s="1" t="s">
        <v>41</v>
      </c>
      <c r="H1" s="1" t="s">
        <v>42</v>
      </c>
      <c r="I1" s="1" t="s">
        <v>43</v>
      </c>
      <c r="J1" s="1" t="s">
        <v>44</v>
      </c>
      <c r="K1" s="1" t="s">
        <v>45</v>
      </c>
      <c r="L1" s="1" t="s">
        <v>46</v>
      </c>
      <c r="M1" s="1" t="s">
        <v>47</v>
      </c>
      <c r="N1" s="1" t="s">
        <v>111</v>
      </c>
      <c r="O1" s="1" t="s">
        <v>239</v>
      </c>
      <c r="P1" s="1" t="s">
        <v>112</v>
      </c>
      <c r="Q1" s="1" t="s">
        <v>113</v>
      </c>
    </row>
    <row r="2" spans="1:17" x14ac:dyDescent="0.25">
      <c r="A2" t="s">
        <v>54</v>
      </c>
      <c r="B2" t="s">
        <v>55</v>
      </c>
      <c r="C2">
        <v>12</v>
      </c>
      <c r="D2">
        <v>12</v>
      </c>
      <c r="E2">
        <v>2</v>
      </c>
      <c r="F2">
        <v>692</v>
      </c>
      <c r="G2">
        <v>100</v>
      </c>
      <c r="H2">
        <v>1</v>
      </c>
      <c r="I2">
        <v>8</v>
      </c>
      <c r="J2">
        <v>69.2</v>
      </c>
      <c r="K2">
        <v>143.87</v>
      </c>
      <c r="L2">
        <v>57</v>
      </c>
      <c r="M2">
        <v>21</v>
      </c>
      <c r="N2">
        <f t="shared" ref="N2:N33" si="0">((F2*1)+(H2*16) +(I2*8)+(L2*1)+(M2*2))</f>
        <v>871</v>
      </c>
      <c r="O2" t="str">
        <f t="shared" ref="O2:O33" si="1">IF(AND(K2&gt;=60,K2&lt;=70),-1,IF(AND(K2&gt;=50,K2&lt;=59.9),-4,IF(K2&lt;50,-6,"NA")))</f>
        <v>NA</v>
      </c>
      <c r="P2">
        <f t="shared" ref="P2:P33" si="2">IFERROR(N2+O2,N2)</f>
        <v>871</v>
      </c>
      <c r="Q2" t="str">
        <f>IFERROR(VLOOKUP(A2,'Bowlers 19'!$A$1:$O$51,1,0),"NA")</f>
        <v>NA</v>
      </c>
    </row>
    <row r="3" spans="1:17" x14ac:dyDescent="0.25">
      <c r="A3" t="s">
        <v>48</v>
      </c>
      <c r="B3" t="s">
        <v>49</v>
      </c>
      <c r="C3">
        <v>14</v>
      </c>
      <c r="D3">
        <v>14</v>
      </c>
      <c r="E3">
        <v>3</v>
      </c>
      <c r="F3">
        <v>593</v>
      </c>
      <c r="G3">
        <v>100</v>
      </c>
      <c r="H3">
        <v>1</v>
      </c>
      <c r="I3">
        <v>6</v>
      </c>
      <c r="J3">
        <v>53.91</v>
      </c>
      <c r="K3">
        <v>135.38999999999999</v>
      </c>
      <c r="L3">
        <v>49</v>
      </c>
      <c r="M3">
        <v>25</v>
      </c>
      <c r="N3">
        <f t="shared" si="0"/>
        <v>756</v>
      </c>
      <c r="O3" t="str">
        <f t="shared" si="1"/>
        <v>NA</v>
      </c>
      <c r="P3">
        <f t="shared" si="2"/>
        <v>756</v>
      </c>
      <c r="Q3" t="str">
        <f>IFERROR(VLOOKUP(A3,'Bowlers 19'!$A$1:$O$51,1,0),"NA")</f>
        <v>NA</v>
      </c>
    </row>
    <row r="4" spans="1:17" x14ac:dyDescent="0.25">
      <c r="A4" t="s">
        <v>110</v>
      </c>
      <c r="B4" t="s">
        <v>68</v>
      </c>
      <c r="C4">
        <v>14</v>
      </c>
      <c r="D4">
        <v>13</v>
      </c>
      <c r="E4">
        <v>4</v>
      </c>
      <c r="F4">
        <v>510</v>
      </c>
      <c r="G4">
        <v>80</v>
      </c>
      <c r="H4">
        <v>0</v>
      </c>
      <c r="I4">
        <v>4</v>
      </c>
      <c r="J4">
        <v>56.67</v>
      </c>
      <c r="K4">
        <v>204.82</v>
      </c>
      <c r="L4">
        <v>31</v>
      </c>
      <c r="M4">
        <v>52</v>
      </c>
      <c r="N4">
        <f t="shared" si="0"/>
        <v>677</v>
      </c>
      <c r="O4" t="str">
        <f t="shared" si="1"/>
        <v>NA</v>
      </c>
      <c r="P4">
        <f t="shared" si="2"/>
        <v>677</v>
      </c>
      <c r="Q4" t="str">
        <f>IFERROR(VLOOKUP(A4,'Bowlers 19'!$A$1:$O$51,1,0),"NA")</f>
        <v>A D Russell</v>
      </c>
    </row>
    <row r="5" spans="1:17" x14ac:dyDescent="0.25">
      <c r="A5" t="s">
        <v>59</v>
      </c>
      <c r="B5" t="s">
        <v>58</v>
      </c>
      <c r="C5">
        <v>16</v>
      </c>
      <c r="D5">
        <v>16</v>
      </c>
      <c r="E5">
        <v>1</v>
      </c>
      <c r="F5">
        <v>529</v>
      </c>
      <c r="G5">
        <v>81</v>
      </c>
      <c r="H5">
        <v>0</v>
      </c>
      <c r="I5">
        <v>4</v>
      </c>
      <c r="J5">
        <v>35.270000000000003</v>
      </c>
      <c r="K5">
        <v>132.91</v>
      </c>
      <c r="L5">
        <v>45</v>
      </c>
      <c r="M5">
        <v>25</v>
      </c>
      <c r="N5">
        <f t="shared" si="0"/>
        <v>656</v>
      </c>
      <c r="O5" t="str">
        <f t="shared" si="1"/>
        <v>NA</v>
      </c>
      <c r="P5">
        <f t="shared" si="2"/>
        <v>656</v>
      </c>
      <c r="Q5" t="str">
        <f>IFERROR(VLOOKUP(A5,'Bowlers 19'!$A$1:$O$51,1,0),"NA")</f>
        <v>NA</v>
      </c>
    </row>
    <row r="6" spans="1:17" x14ac:dyDescent="0.25">
      <c r="A6" t="s">
        <v>51</v>
      </c>
      <c r="B6" t="s">
        <v>52</v>
      </c>
      <c r="C6">
        <v>16</v>
      </c>
      <c r="D6">
        <v>16</v>
      </c>
      <c r="E6">
        <v>1</v>
      </c>
      <c r="F6">
        <v>521</v>
      </c>
      <c r="G6">
        <v>97</v>
      </c>
      <c r="H6">
        <v>0</v>
      </c>
      <c r="I6">
        <v>5</v>
      </c>
      <c r="J6">
        <v>34.729999999999997</v>
      </c>
      <c r="K6">
        <v>135.68</v>
      </c>
      <c r="L6">
        <v>64</v>
      </c>
      <c r="M6">
        <v>11</v>
      </c>
      <c r="N6">
        <f t="shared" si="0"/>
        <v>647</v>
      </c>
      <c r="O6" t="str">
        <f t="shared" si="1"/>
        <v>NA</v>
      </c>
      <c r="P6">
        <f t="shared" si="2"/>
        <v>647</v>
      </c>
      <c r="Q6" t="str">
        <f>IFERROR(VLOOKUP(A6,'Bowlers 19'!$A$1:$O$51,1,0),"NA")</f>
        <v>NA</v>
      </c>
    </row>
    <row r="7" spans="1:17" x14ac:dyDescent="0.25">
      <c r="A7" t="s">
        <v>86</v>
      </c>
      <c r="B7" t="s">
        <v>49</v>
      </c>
      <c r="C7">
        <v>13</v>
      </c>
      <c r="D7">
        <v>13</v>
      </c>
      <c r="E7">
        <v>1</v>
      </c>
      <c r="F7">
        <v>490</v>
      </c>
      <c r="G7">
        <v>99</v>
      </c>
      <c r="H7">
        <v>0</v>
      </c>
      <c r="I7">
        <v>4</v>
      </c>
      <c r="J7">
        <v>40.83</v>
      </c>
      <c r="K7">
        <v>153.61000000000001</v>
      </c>
      <c r="L7">
        <v>45</v>
      </c>
      <c r="M7">
        <v>34</v>
      </c>
      <c r="N7">
        <f t="shared" si="0"/>
        <v>635</v>
      </c>
      <c r="O7" t="str">
        <f t="shared" si="1"/>
        <v>NA</v>
      </c>
      <c r="P7">
        <f t="shared" si="2"/>
        <v>635</v>
      </c>
      <c r="Q7" t="str">
        <f>IFERROR(VLOOKUP(A7,'Bowlers 19'!$A$1:$O$51,1,0),"NA")</f>
        <v>NA</v>
      </c>
    </row>
    <row r="8" spans="1:17" x14ac:dyDescent="0.25">
      <c r="A8" t="s">
        <v>80</v>
      </c>
      <c r="B8" t="s">
        <v>52</v>
      </c>
      <c r="C8">
        <v>16</v>
      </c>
      <c r="D8">
        <v>16</v>
      </c>
      <c r="E8">
        <v>3</v>
      </c>
      <c r="F8">
        <v>488</v>
      </c>
      <c r="G8">
        <v>78</v>
      </c>
      <c r="H8">
        <v>0</v>
      </c>
      <c r="I8">
        <v>3</v>
      </c>
      <c r="J8">
        <v>37.54</v>
      </c>
      <c r="K8">
        <v>162.66999999999999</v>
      </c>
      <c r="L8">
        <v>37</v>
      </c>
      <c r="M8">
        <v>27</v>
      </c>
      <c r="N8">
        <f t="shared" si="0"/>
        <v>603</v>
      </c>
      <c r="O8" t="str">
        <f t="shared" si="1"/>
        <v>NA</v>
      </c>
      <c r="P8">
        <f t="shared" si="2"/>
        <v>603</v>
      </c>
      <c r="Q8" t="str">
        <f>IFERROR(VLOOKUP(A8,'Bowlers 19'!$A$1:$O$51,1,0),"NA")</f>
        <v>NA</v>
      </c>
    </row>
    <row r="9" spans="1:17" x14ac:dyDescent="0.25">
      <c r="A9" t="s">
        <v>63</v>
      </c>
      <c r="B9" t="s">
        <v>62</v>
      </c>
      <c r="C9">
        <v>14</v>
      </c>
      <c r="D9">
        <v>14</v>
      </c>
      <c r="E9">
        <v>0</v>
      </c>
      <c r="F9">
        <v>464</v>
      </c>
      <c r="G9">
        <v>100</v>
      </c>
      <c r="H9">
        <v>1</v>
      </c>
      <c r="I9">
        <v>2</v>
      </c>
      <c r="J9">
        <v>33.14</v>
      </c>
      <c r="K9">
        <v>141.46</v>
      </c>
      <c r="L9">
        <v>46</v>
      </c>
      <c r="M9">
        <v>13</v>
      </c>
      <c r="N9">
        <f t="shared" si="0"/>
        <v>568</v>
      </c>
      <c r="O9" t="str">
        <f t="shared" si="1"/>
        <v>NA</v>
      </c>
      <c r="P9">
        <f t="shared" si="2"/>
        <v>568</v>
      </c>
      <c r="Q9" t="str">
        <f>IFERROR(VLOOKUP(A9,'Bowlers 19'!$A$1:$O$51,1,0),"NA")</f>
        <v>NA</v>
      </c>
    </row>
    <row r="10" spans="1:17" x14ac:dyDescent="0.25">
      <c r="A10" t="s">
        <v>64</v>
      </c>
      <c r="B10" t="s">
        <v>62</v>
      </c>
      <c r="C10">
        <v>13</v>
      </c>
      <c r="D10">
        <v>13</v>
      </c>
      <c r="E10">
        <v>3</v>
      </c>
      <c r="F10">
        <v>442</v>
      </c>
      <c r="G10">
        <v>82</v>
      </c>
      <c r="H10">
        <v>0</v>
      </c>
      <c r="I10">
        <v>5</v>
      </c>
      <c r="J10">
        <v>44.2</v>
      </c>
      <c r="K10">
        <v>154.01</v>
      </c>
      <c r="L10">
        <v>31</v>
      </c>
      <c r="M10">
        <v>26</v>
      </c>
      <c r="N10">
        <f t="shared" si="0"/>
        <v>565</v>
      </c>
      <c r="O10" t="str">
        <f t="shared" si="1"/>
        <v>NA</v>
      </c>
      <c r="P10">
        <f t="shared" si="2"/>
        <v>565</v>
      </c>
      <c r="Q10" t="str">
        <f>IFERROR(VLOOKUP(A10,'Bowlers 19'!$A$1:$O$51,1,0),"NA")</f>
        <v>NA</v>
      </c>
    </row>
    <row r="11" spans="1:17" x14ac:dyDescent="0.25">
      <c r="A11" t="s">
        <v>79</v>
      </c>
      <c r="B11" t="s">
        <v>55</v>
      </c>
      <c r="C11">
        <v>10</v>
      </c>
      <c r="D11">
        <v>10</v>
      </c>
      <c r="E11">
        <v>2</v>
      </c>
      <c r="F11">
        <v>445</v>
      </c>
      <c r="G11">
        <v>114</v>
      </c>
      <c r="H11">
        <v>1</v>
      </c>
      <c r="I11">
        <v>2</v>
      </c>
      <c r="J11">
        <v>55.63</v>
      </c>
      <c r="K11">
        <v>157.24</v>
      </c>
      <c r="L11">
        <v>48</v>
      </c>
      <c r="M11">
        <v>18</v>
      </c>
      <c r="N11">
        <f t="shared" si="0"/>
        <v>561</v>
      </c>
      <c r="O11" t="str">
        <f t="shared" si="1"/>
        <v>NA</v>
      </c>
      <c r="P11">
        <f t="shared" si="2"/>
        <v>561</v>
      </c>
      <c r="Q11" t="str">
        <f>IFERROR(VLOOKUP(A11,'Bowlers 19'!$A$1:$O$51,1,0),"NA")</f>
        <v>NA</v>
      </c>
    </row>
    <row r="12" spans="1:17" x14ac:dyDescent="0.25">
      <c r="A12" t="s">
        <v>56</v>
      </c>
      <c r="B12" t="s">
        <v>52</v>
      </c>
      <c r="C12">
        <v>16</v>
      </c>
      <c r="D12">
        <v>16</v>
      </c>
      <c r="E12">
        <v>1</v>
      </c>
      <c r="F12">
        <v>463</v>
      </c>
      <c r="G12">
        <v>67</v>
      </c>
      <c r="H12">
        <v>0</v>
      </c>
      <c r="I12">
        <v>3</v>
      </c>
      <c r="J12">
        <v>30.87</v>
      </c>
      <c r="K12">
        <v>119.95</v>
      </c>
      <c r="L12">
        <v>41</v>
      </c>
      <c r="M12">
        <v>14</v>
      </c>
      <c r="N12">
        <f t="shared" si="0"/>
        <v>556</v>
      </c>
      <c r="O12" t="str">
        <f t="shared" si="1"/>
        <v>NA</v>
      </c>
      <c r="P12">
        <f t="shared" si="2"/>
        <v>556</v>
      </c>
      <c r="Q12" t="str">
        <f>IFERROR(VLOOKUP(A12,'Bowlers 19'!$A$1:$O$51,1,0),"NA")</f>
        <v>NA</v>
      </c>
    </row>
    <row r="13" spans="1:17" x14ac:dyDescent="0.25">
      <c r="A13" t="s">
        <v>248</v>
      </c>
      <c r="B13" t="s">
        <v>68</v>
      </c>
      <c r="C13">
        <v>13</v>
      </c>
      <c r="D13">
        <v>13</v>
      </c>
      <c r="E13">
        <v>0</v>
      </c>
      <c r="F13">
        <v>405</v>
      </c>
      <c r="G13">
        <v>82</v>
      </c>
      <c r="H13">
        <v>0</v>
      </c>
      <c r="I13">
        <v>4</v>
      </c>
      <c r="J13">
        <v>31.15</v>
      </c>
      <c r="K13">
        <v>139.66</v>
      </c>
      <c r="L13">
        <v>41</v>
      </c>
      <c r="M13">
        <v>22</v>
      </c>
      <c r="N13">
        <f t="shared" si="0"/>
        <v>522</v>
      </c>
      <c r="O13" t="str">
        <f t="shared" si="1"/>
        <v>NA</v>
      </c>
      <c r="P13">
        <f t="shared" si="2"/>
        <v>522</v>
      </c>
      <c r="Q13" t="str">
        <f>IFERROR(VLOOKUP(A13,'Bowlers 19'!$A$1:$O$51,1,0),"NA")</f>
        <v>NA</v>
      </c>
    </row>
    <row r="14" spans="1:17" x14ac:dyDescent="0.25">
      <c r="A14" t="s">
        <v>98</v>
      </c>
      <c r="B14" t="s">
        <v>66</v>
      </c>
      <c r="C14">
        <v>15</v>
      </c>
      <c r="D14">
        <v>12</v>
      </c>
      <c r="E14">
        <v>7</v>
      </c>
      <c r="F14">
        <v>416</v>
      </c>
      <c r="G14" t="s">
        <v>240</v>
      </c>
      <c r="H14">
        <v>0</v>
      </c>
      <c r="I14">
        <v>3</v>
      </c>
      <c r="J14">
        <v>83.2</v>
      </c>
      <c r="K14">
        <v>134.63</v>
      </c>
      <c r="L14">
        <v>22</v>
      </c>
      <c r="M14">
        <v>23</v>
      </c>
      <c r="N14">
        <f t="shared" si="0"/>
        <v>508</v>
      </c>
      <c r="O14" t="str">
        <f t="shared" si="1"/>
        <v>NA</v>
      </c>
      <c r="P14">
        <f t="shared" si="2"/>
        <v>508</v>
      </c>
      <c r="Q14" t="str">
        <f>IFERROR(VLOOKUP(A14,'Bowlers 19'!$A$1:$O$51,1,0),"NA")</f>
        <v>NA</v>
      </c>
    </row>
    <row r="15" spans="1:17" x14ac:dyDescent="0.25">
      <c r="A15" t="s">
        <v>60</v>
      </c>
      <c r="B15" t="s">
        <v>58</v>
      </c>
      <c r="C15">
        <v>16</v>
      </c>
      <c r="D15">
        <v>15</v>
      </c>
      <c r="E15">
        <v>2</v>
      </c>
      <c r="F15">
        <v>424</v>
      </c>
      <c r="G15">
        <v>71</v>
      </c>
      <c r="H15">
        <v>0</v>
      </c>
      <c r="I15">
        <v>2</v>
      </c>
      <c r="J15">
        <v>32.619999999999997</v>
      </c>
      <c r="K15">
        <v>130.86000000000001</v>
      </c>
      <c r="L15">
        <v>45</v>
      </c>
      <c r="M15">
        <v>10</v>
      </c>
      <c r="N15">
        <f t="shared" si="0"/>
        <v>505</v>
      </c>
      <c r="O15" t="str">
        <f t="shared" si="1"/>
        <v>NA</v>
      </c>
      <c r="P15">
        <f t="shared" si="2"/>
        <v>505</v>
      </c>
      <c r="Q15" t="str">
        <f>IFERROR(VLOOKUP(A15,'Bowlers 19'!$A$1:$O$51,1,0),"NA")</f>
        <v>NA</v>
      </c>
    </row>
    <row r="16" spans="1:17" x14ac:dyDescent="0.25">
      <c r="A16" t="s">
        <v>85</v>
      </c>
      <c r="B16" t="s">
        <v>66</v>
      </c>
      <c r="C16">
        <v>17</v>
      </c>
      <c r="D16">
        <v>17</v>
      </c>
      <c r="E16">
        <v>0</v>
      </c>
      <c r="F16">
        <v>398</v>
      </c>
      <c r="G16">
        <v>96</v>
      </c>
      <c r="H16">
        <v>0</v>
      </c>
      <c r="I16">
        <v>3</v>
      </c>
      <c r="J16">
        <v>23.41</v>
      </c>
      <c r="K16">
        <v>127.56</v>
      </c>
      <c r="L16">
        <v>42</v>
      </c>
      <c r="M16">
        <v>20</v>
      </c>
      <c r="N16">
        <f t="shared" si="0"/>
        <v>504</v>
      </c>
      <c r="O16" t="str">
        <f t="shared" si="1"/>
        <v>NA</v>
      </c>
      <c r="P16">
        <f t="shared" si="2"/>
        <v>504</v>
      </c>
      <c r="Q16" t="str">
        <f>IFERROR(VLOOKUP(A16,'Bowlers 19'!$A$1:$O$51,1,0),"NA")</f>
        <v>NA</v>
      </c>
    </row>
    <row r="17" spans="1:17" x14ac:dyDescent="0.25">
      <c r="A17" t="s">
        <v>89</v>
      </c>
      <c r="B17" t="s">
        <v>58</v>
      </c>
      <c r="C17">
        <v>16</v>
      </c>
      <c r="D17">
        <v>15</v>
      </c>
      <c r="E17">
        <v>6</v>
      </c>
      <c r="F17">
        <v>402</v>
      </c>
      <c r="G17">
        <v>91</v>
      </c>
      <c r="H17">
        <v>0</v>
      </c>
      <c r="I17">
        <v>1</v>
      </c>
      <c r="J17">
        <v>44.67</v>
      </c>
      <c r="K17">
        <v>191.43</v>
      </c>
      <c r="L17">
        <v>28</v>
      </c>
      <c r="M17">
        <v>29</v>
      </c>
      <c r="N17">
        <f t="shared" si="0"/>
        <v>496</v>
      </c>
      <c r="O17" t="str">
        <f t="shared" si="1"/>
        <v>NA</v>
      </c>
      <c r="P17">
        <f t="shared" si="2"/>
        <v>496</v>
      </c>
      <c r="Q17" t="str">
        <f>IFERROR(VLOOKUP(A17,'Bowlers 19'!$A$1:$O$51,1,0),"NA")</f>
        <v>H H Pandya</v>
      </c>
    </row>
    <row r="18" spans="1:17" x14ac:dyDescent="0.25">
      <c r="A18" t="s">
        <v>81</v>
      </c>
      <c r="B18" t="s">
        <v>58</v>
      </c>
      <c r="C18">
        <v>15</v>
      </c>
      <c r="D18">
        <v>15</v>
      </c>
      <c r="E18">
        <v>1</v>
      </c>
      <c r="F18">
        <v>405</v>
      </c>
      <c r="G18">
        <v>67</v>
      </c>
      <c r="H18">
        <v>0</v>
      </c>
      <c r="I18">
        <v>2</v>
      </c>
      <c r="J18">
        <v>28.93</v>
      </c>
      <c r="K18">
        <v>128.57</v>
      </c>
      <c r="L18">
        <v>52</v>
      </c>
      <c r="M18">
        <v>10</v>
      </c>
      <c r="N18">
        <f t="shared" si="0"/>
        <v>493</v>
      </c>
      <c r="O18" t="str">
        <f t="shared" si="1"/>
        <v>NA</v>
      </c>
      <c r="P18">
        <f t="shared" si="2"/>
        <v>493</v>
      </c>
      <c r="Q18" t="str">
        <f>IFERROR(VLOOKUP(A18,'Bowlers 19'!$A$1:$O$51,1,0),"NA")</f>
        <v>NA</v>
      </c>
    </row>
    <row r="19" spans="1:17" x14ac:dyDescent="0.25">
      <c r="A19" t="s">
        <v>65</v>
      </c>
      <c r="B19" t="s">
        <v>66</v>
      </c>
      <c r="C19">
        <v>12</v>
      </c>
      <c r="D19">
        <v>12</v>
      </c>
      <c r="E19">
        <v>1</v>
      </c>
      <c r="F19">
        <v>396</v>
      </c>
      <c r="G19">
        <v>96</v>
      </c>
      <c r="H19">
        <v>0</v>
      </c>
      <c r="I19">
        <v>3</v>
      </c>
      <c r="J19">
        <v>36</v>
      </c>
      <c r="K19">
        <v>123.36</v>
      </c>
      <c r="L19">
        <v>36</v>
      </c>
      <c r="M19">
        <v>15</v>
      </c>
      <c r="N19">
        <f t="shared" si="0"/>
        <v>486</v>
      </c>
      <c r="O19" t="str">
        <f t="shared" si="1"/>
        <v>NA</v>
      </c>
      <c r="P19">
        <f t="shared" si="2"/>
        <v>486</v>
      </c>
      <c r="Q19" t="str">
        <f>IFERROR(VLOOKUP(A19,'Bowlers 19'!$A$1:$O$51,1,0),"NA")</f>
        <v>NA</v>
      </c>
    </row>
    <row r="20" spans="1:17" x14ac:dyDescent="0.25">
      <c r="A20" t="s">
        <v>242</v>
      </c>
      <c r="B20" t="s">
        <v>74</v>
      </c>
      <c r="C20">
        <v>14</v>
      </c>
      <c r="D20">
        <v>13</v>
      </c>
      <c r="E20">
        <v>1</v>
      </c>
      <c r="F20">
        <v>393</v>
      </c>
      <c r="G20" t="s">
        <v>243</v>
      </c>
      <c r="H20">
        <v>1</v>
      </c>
      <c r="I20">
        <v>1</v>
      </c>
      <c r="J20">
        <v>32.75</v>
      </c>
      <c r="K20">
        <v>137.88999999999999</v>
      </c>
      <c r="L20">
        <v>45</v>
      </c>
      <c r="M20">
        <v>9</v>
      </c>
      <c r="N20">
        <f t="shared" si="0"/>
        <v>480</v>
      </c>
      <c r="O20" t="str">
        <f t="shared" si="1"/>
        <v>NA</v>
      </c>
      <c r="P20">
        <f t="shared" si="2"/>
        <v>480</v>
      </c>
      <c r="Q20" t="str">
        <f>IFERROR(VLOOKUP(A20,'Bowlers 19'!$A$1:$O$51,1,0),"NA")</f>
        <v>NA</v>
      </c>
    </row>
    <row r="21" spans="1:17" x14ac:dyDescent="0.25">
      <c r="A21" t="s">
        <v>252</v>
      </c>
      <c r="B21" t="s">
        <v>66</v>
      </c>
      <c r="C21">
        <v>17</v>
      </c>
      <c r="D21">
        <v>17</v>
      </c>
      <c r="E21">
        <v>1</v>
      </c>
      <c r="F21">
        <v>383</v>
      </c>
      <c r="G21">
        <v>59</v>
      </c>
      <c r="H21">
        <v>0</v>
      </c>
      <c r="I21">
        <v>3</v>
      </c>
      <c r="J21">
        <v>23.94</v>
      </c>
      <c r="K21">
        <v>121.97</v>
      </c>
      <c r="L21">
        <v>45</v>
      </c>
      <c r="M21">
        <v>9</v>
      </c>
      <c r="N21">
        <f t="shared" si="0"/>
        <v>470</v>
      </c>
      <c r="O21" t="str">
        <f t="shared" si="1"/>
        <v>NA</v>
      </c>
      <c r="P21">
        <f t="shared" si="2"/>
        <v>470</v>
      </c>
      <c r="Q21" t="str">
        <f>IFERROR(VLOOKUP(A21,'Bowlers 19'!$A$1:$O$51,1,0),"NA")</f>
        <v>NA</v>
      </c>
    </row>
    <row r="22" spans="1:17" x14ac:dyDescent="0.25">
      <c r="A22" t="s">
        <v>250</v>
      </c>
      <c r="B22" t="s">
        <v>62</v>
      </c>
      <c r="C22">
        <v>14</v>
      </c>
      <c r="D22">
        <v>14</v>
      </c>
      <c r="E22">
        <v>0</v>
      </c>
      <c r="F22">
        <v>373</v>
      </c>
      <c r="G22">
        <v>67</v>
      </c>
      <c r="H22">
        <v>0</v>
      </c>
      <c r="I22">
        <v>2</v>
      </c>
      <c r="J22">
        <v>26.64</v>
      </c>
      <c r="K22">
        <v>139.18</v>
      </c>
      <c r="L22">
        <v>48</v>
      </c>
      <c r="M22">
        <v>10</v>
      </c>
      <c r="N22">
        <f t="shared" si="0"/>
        <v>457</v>
      </c>
      <c r="O22" t="str">
        <f t="shared" si="1"/>
        <v>NA</v>
      </c>
      <c r="P22">
        <f t="shared" si="2"/>
        <v>457</v>
      </c>
      <c r="Q22" t="str">
        <f>IFERROR(VLOOKUP(A22,'Bowlers 19'!$A$1:$O$51,1,0),"NA")</f>
        <v>NA</v>
      </c>
    </row>
    <row r="23" spans="1:17" x14ac:dyDescent="0.25">
      <c r="A23" t="s">
        <v>78</v>
      </c>
      <c r="B23" t="s">
        <v>68</v>
      </c>
      <c r="C23">
        <v>14</v>
      </c>
      <c r="D23">
        <v>11</v>
      </c>
      <c r="E23">
        <v>1</v>
      </c>
      <c r="F23">
        <v>344</v>
      </c>
      <c r="G23">
        <v>85</v>
      </c>
      <c r="H23">
        <v>0</v>
      </c>
      <c r="I23">
        <v>3</v>
      </c>
      <c r="J23">
        <v>34.4</v>
      </c>
      <c r="K23">
        <v>146.38</v>
      </c>
      <c r="L23">
        <v>27</v>
      </c>
      <c r="M23">
        <v>21</v>
      </c>
      <c r="N23">
        <f t="shared" si="0"/>
        <v>437</v>
      </c>
      <c r="O23" t="str">
        <f t="shared" si="1"/>
        <v>NA</v>
      </c>
      <c r="P23">
        <f t="shared" si="2"/>
        <v>437</v>
      </c>
      <c r="Q23" t="str">
        <f>IFERROR(VLOOKUP(A23,'Bowlers 19'!$A$1:$O$51,1,0),"NA")</f>
        <v>NA</v>
      </c>
    </row>
    <row r="24" spans="1:17" x14ac:dyDescent="0.25">
      <c r="A24" t="s">
        <v>95</v>
      </c>
      <c r="B24" t="s">
        <v>52</v>
      </c>
      <c r="C24">
        <v>16</v>
      </c>
      <c r="D24">
        <v>16</v>
      </c>
      <c r="E24">
        <v>0</v>
      </c>
      <c r="F24">
        <v>353</v>
      </c>
      <c r="G24">
        <v>99</v>
      </c>
      <c r="H24">
        <v>0</v>
      </c>
      <c r="I24">
        <v>2</v>
      </c>
      <c r="J24">
        <v>22.06</v>
      </c>
      <c r="K24">
        <v>133.71</v>
      </c>
      <c r="L24">
        <v>45</v>
      </c>
      <c r="M24">
        <v>9</v>
      </c>
      <c r="N24">
        <f t="shared" si="0"/>
        <v>432</v>
      </c>
      <c r="O24" t="str">
        <f t="shared" si="1"/>
        <v>NA</v>
      </c>
      <c r="P24">
        <f t="shared" si="2"/>
        <v>432</v>
      </c>
      <c r="Q24" t="str">
        <f>IFERROR(VLOOKUP(A24,'Bowlers 19'!$A$1:$O$51,1,0),"NA")</f>
        <v>NA</v>
      </c>
    </row>
    <row r="25" spans="1:17" x14ac:dyDescent="0.25">
      <c r="A25" t="s">
        <v>69</v>
      </c>
      <c r="B25" t="s">
        <v>55</v>
      </c>
      <c r="C25">
        <v>12</v>
      </c>
      <c r="D25">
        <v>11</v>
      </c>
      <c r="E25">
        <v>3</v>
      </c>
      <c r="F25">
        <v>344</v>
      </c>
      <c r="G25">
        <v>83</v>
      </c>
      <c r="H25">
        <v>0</v>
      </c>
      <c r="I25">
        <v>3</v>
      </c>
      <c r="J25">
        <v>43</v>
      </c>
      <c r="K25">
        <v>130.80000000000001</v>
      </c>
      <c r="L25">
        <v>34</v>
      </c>
      <c r="M25">
        <v>6</v>
      </c>
      <c r="N25">
        <f t="shared" si="0"/>
        <v>414</v>
      </c>
      <c r="O25" t="str">
        <f t="shared" si="1"/>
        <v>NA</v>
      </c>
      <c r="P25">
        <f t="shared" si="2"/>
        <v>414</v>
      </c>
      <c r="Q25" t="str">
        <f>IFERROR(VLOOKUP(A25,'Bowlers 19'!$A$1:$O$51,1,0),"NA")</f>
        <v>NA</v>
      </c>
    </row>
    <row r="26" spans="1:17" x14ac:dyDescent="0.25">
      <c r="A26" t="s">
        <v>73</v>
      </c>
      <c r="B26" t="s">
        <v>74</v>
      </c>
      <c r="C26">
        <v>12</v>
      </c>
      <c r="D26">
        <v>12</v>
      </c>
      <c r="E26">
        <v>2</v>
      </c>
      <c r="F26">
        <v>342</v>
      </c>
      <c r="G26">
        <v>102</v>
      </c>
      <c r="H26">
        <v>1</v>
      </c>
      <c r="I26">
        <v>0</v>
      </c>
      <c r="J26">
        <v>34.200000000000003</v>
      </c>
      <c r="K26">
        <v>148.69999999999999</v>
      </c>
      <c r="L26">
        <v>28</v>
      </c>
      <c r="M26">
        <v>13</v>
      </c>
      <c r="N26">
        <f t="shared" si="0"/>
        <v>412</v>
      </c>
      <c r="O26" t="str">
        <f t="shared" si="1"/>
        <v>NA</v>
      </c>
      <c r="P26">
        <f t="shared" si="2"/>
        <v>412</v>
      </c>
      <c r="Q26" t="str">
        <f>IFERROR(VLOOKUP(A26,'Bowlers 19'!$A$1:$O$51,1,0),"NA")</f>
        <v>NA</v>
      </c>
    </row>
    <row r="27" spans="1:17" x14ac:dyDescent="0.25">
      <c r="A27" t="s">
        <v>70</v>
      </c>
      <c r="B27" t="s">
        <v>49</v>
      </c>
      <c r="C27">
        <v>13</v>
      </c>
      <c r="D27">
        <v>13</v>
      </c>
      <c r="E27">
        <v>0</v>
      </c>
      <c r="F27">
        <v>332</v>
      </c>
      <c r="G27">
        <v>58</v>
      </c>
      <c r="H27">
        <v>0</v>
      </c>
      <c r="I27">
        <v>2</v>
      </c>
      <c r="J27">
        <v>25.54</v>
      </c>
      <c r="K27">
        <v>141.88</v>
      </c>
      <c r="L27">
        <v>26</v>
      </c>
      <c r="M27">
        <v>14</v>
      </c>
      <c r="N27">
        <f t="shared" si="0"/>
        <v>402</v>
      </c>
      <c r="O27" t="str">
        <f t="shared" si="1"/>
        <v>NA</v>
      </c>
      <c r="P27">
        <f t="shared" si="2"/>
        <v>402</v>
      </c>
      <c r="Q27" t="str">
        <f>IFERROR(VLOOKUP(A27,'Bowlers 19'!$A$1:$O$51,1,0),"NA")</f>
        <v>NA</v>
      </c>
    </row>
    <row r="28" spans="1:17" x14ac:dyDescent="0.25">
      <c r="A28" t="s">
        <v>82</v>
      </c>
      <c r="B28" t="s">
        <v>74</v>
      </c>
      <c r="C28">
        <v>8</v>
      </c>
      <c r="D28">
        <v>8</v>
      </c>
      <c r="E28">
        <v>0</v>
      </c>
      <c r="F28">
        <v>311</v>
      </c>
      <c r="G28">
        <v>89</v>
      </c>
      <c r="H28">
        <v>0</v>
      </c>
      <c r="I28">
        <v>3</v>
      </c>
      <c r="J28">
        <v>38.880000000000003</v>
      </c>
      <c r="K28">
        <v>151.71</v>
      </c>
      <c r="L28">
        <v>38</v>
      </c>
      <c r="M28">
        <v>14</v>
      </c>
      <c r="N28">
        <f t="shared" si="0"/>
        <v>401</v>
      </c>
      <c r="O28" t="str">
        <f t="shared" si="1"/>
        <v>NA</v>
      </c>
      <c r="P28">
        <f t="shared" si="2"/>
        <v>401</v>
      </c>
      <c r="Q28" t="str">
        <f>IFERROR(VLOOKUP(A28,'Bowlers 19'!$A$1:$O$51,1,0),"NA")</f>
        <v>NA</v>
      </c>
    </row>
    <row r="29" spans="1:17" x14ac:dyDescent="0.25">
      <c r="A29" t="s">
        <v>84</v>
      </c>
      <c r="B29" t="s">
        <v>74</v>
      </c>
      <c r="C29">
        <v>12</v>
      </c>
      <c r="D29">
        <v>10</v>
      </c>
      <c r="E29">
        <v>2</v>
      </c>
      <c r="F29">
        <v>319</v>
      </c>
      <c r="G29">
        <v>73</v>
      </c>
      <c r="H29">
        <v>0</v>
      </c>
      <c r="I29">
        <v>3</v>
      </c>
      <c r="J29">
        <v>39.880000000000003</v>
      </c>
      <c r="K29">
        <v>116</v>
      </c>
      <c r="L29">
        <v>30</v>
      </c>
      <c r="M29">
        <v>4</v>
      </c>
      <c r="N29">
        <f t="shared" si="0"/>
        <v>381</v>
      </c>
      <c r="O29" t="str">
        <f t="shared" si="1"/>
        <v>NA</v>
      </c>
      <c r="P29">
        <f t="shared" si="2"/>
        <v>381</v>
      </c>
      <c r="Q29" t="str">
        <f>IFERROR(VLOOKUP(A29,'Bowlers 19'!$A$1:$O$51,1,0),"NA")</f>
        <v>NA</v>
      </c>
    </row>
    <row r="30" spans="1:17" x14ac:dyDescent="0.25">
      <c r="A30" t="s">
        <v>67</v>
      </c>
      <c r="B30" t="s">
        <v>68</v>
      </c>
      <c r="C30">
        <v>14</v>
      </c>
      <c r="D30">
        <v>13</v>
      </c>
      <c r="E30">
        <v>4</v>
      </c>
      <c r="F30">
        <v>296</v>
      </c>
      <c r="G30">
        <v>76</v>
      </c>
      <c r="H30">
        <v>0</v>
      </c>
      <c r="I30">
        <v>3</v>
      </c>
      <c r="J30">
        <v>32.89</v>
      </c>
      <c r="K30">
        <v>124.37</v>
      </c>
      <c r="L30">
        <v>21</v>
      </c>
      <c r="M30">
        <v>10</v>
      </c>
      <c r="N30">
        <f t="shared" si="0"/>
        <v>361</v>
      </c>
      <c r="O30" t="str">
        <f t="shared" si="1"/>
        <v>NA</v>
      </c>
      <c r="P30">
        <f t="shared" si="2"/>
        <v>361</v>
      </c>
      <c r="Q30" t="str">
        <f>IFERROR(VLOOKUP(A30,'Bowlers 19'!$A$1:$O$51,1,0),"NA")</f>
        <v>NA</v>
      </c>
    </row>
    <row r="31" spans="1:17" x14ac:dyDescent="0.25">
      <c r="A31" t="s">
        <v>90</v>
      </c>
      <c r="B31" t="s">
        <v>58</v>
      </c>
      <c r="C31">
        <v>16</v>
      </c>
      <c r="D31">
        <v>14</v>
      </c>
      <c r="E31">
        <v>6</v>
      </c>
      <c r="F31">
        <v>279</v>
      </c>
      <c r="G31">
        <v>83</v>
      </c>
      <c r="H31">
        <v>0</v>
      </c>
      <c r="I31">
        <v>1</v>
      </c>
      <c r="J31">
        <v>34.880000000000003</v>
      </c>
      <c r="K31">
        <v>156.74</v>
      </c>
      <c r="L31">
        <v>14</v>
      </c>
      <c r="M31">
        <v>22</v>
      </c>
      <c r="N31">
        <f t="shared" si="0"/>
        <v>345</v>
      </c>
      <c r="O31" t="str">
        <f t="shared" si="1"/>
        <v>NA</v>
      </c>
      <c r="P31">
        <f t="shared" si="2"/>
        <v>345</v>
      </c>
      <c r="Q31" t="str">
        <f>IFERROR(VLOOKUP(A31,'Bowlers 19'!$A$1:$O$51,1,0),"NA")</f>
        <v>NA</v>
      </c>
    </row>
    <row r="32" spans="1:17" x14ac:dyDescent="0.25">
      <c r="A32" t="s">
        <v>99</v>
      </c>
      <c r="B32" t="s">
        <v>68</v>
      </c>
      <c r="C32">
        <v>12</v>
      </c>
      <c r="D32">
        <v>11</v>
      </c>
      <c r="E32">
        <v>2</v>
      </c>
      <c r="F32">
        <v>282</v>
      </c>
      <c r="G32">
        <v>67</v>
      </c>
      <c r="H32">
        <v>0</v>
      </c>
      <c r="I32">
        <v>1</v>
      </c>
      <c r="J32">
        <v>31.33</v>
      </c>
      <c r="K32">
        <v>115.1</v>
      </c>
      <c r="L32">
        <v>28</v>
      </c>
      <c r="M32">
        <v>10</v>
      </c>
      <c r="N32">
        <f t="shared" si="0"/>
        <v>338</v>
      </c>
      <c r="O32" t="str">
        <f t="shared" si="1"/>
        <v>NA</v>
      </c>
      <c r="P32">
        <f t="shared" si="2"/>
        <v>338</v>
      </c>
      <c r="Q32" t="str">
        <f>IFERROR(VLOOKUP(A32,'Bowlers 19'!$A$1:$O$51,1,0),"NA")</f>
        <v>NA</v>
      </c>
    </row>
    <row r="33" spans="1:17" x14ac:dyDescent="0.25">
      <c r="A33" t="s">
        <v>75</v>
      </c>
      <c r="B33" t="s">
        <v>66</v>
      </c>
      <c r="C33">
        <v>17</v>
      </c>
      <c r="D33">
        <v>17</v>
      </c>
      <c r="E33">
        <v>5</v>
      </c>
      <c r="F33">
        <v>282</v>
      </c>
      <c r="G33">
        <v>57</v>
      </c>
      <c r="H33">
        <v>0</v>
      </c>
      <c r="I33">
        <v>1</v>
      </c>
      <c r="J33">
        <v>23.5</v>
      </c>
      <c r="K33">
        <v>93.07</v>
      </c>
      <c r="L33">
        <v>20</v>
      </c>
      <c r="M33">
        <v>7</v>
      </c>
      <c r="N33">
        <f t="shared" si="0"/>
        <v>324</v>
      </c>
      <c r="O33" t="str">
        <f t="shared" si="1"/>
        <v>NA</v>
      </c>
      <c r="P33">
        <f t="shared" si="2"/>
        <v>324</v>
      </c>
      <c r="Q33" t="str">
        <f>IFERROR(VLOOKUP(A33,'Bowlers 19'!$A$1:$O$51,1,0),"NA")</f>
        <v>NA</v>
      </c>
    </row>
    <row r="34" spans="1:17" x14ac:dyDescent="0.25">
      <c r="A34" t="s">
        <v>102</v>
      </c>
      <c r="B34" t="s">
        <v>68</v>
      </c>
      <c r="C34">
        <v>14</v>
      </c>
      <c r="D34">
        <v>13</v>
      </c>
      <c r="E34">
        <v>5</v>
      </c>
      <c r="F34">
        <v>253</v>
      </c>
      <c r="G34" t="s">
        <v>247</v>
      </c>
      <c r="H34">
        <v>0</v>
      </c>
      <c r="I34">
        <v>2</v>
      </c>
      <c r="J34">
        <v>31.63</v>
      </c>
      <c r="K34">
        <v>146.24</v>
      </c>
      <c r="L34">
        <v>22</v>
      </c>
      <c r="M34">
        <v>14</v>
      </c>
      <c r="N34">
        <f t="shared" ref="N34:N51" si="3">((F34*1)+(H34*16) +(I34*8)+(L34*1)+(M34*2))</f>
        <v>319</v>
      </c>
      <c r="O34" t="str">
        <f t="shared" ref="O34:O51" si="4">IF(AND(K34&gt;=60,K34&lt;=70),-1,IF(AND(K34&gt;=50,K34&lt;=59.9),-4,IF(K34&lt;50,-6,"NA")))</f>
        <v>NA</v>
      </c>
      <c r="P34">
        <f t="shared" ref="P34:P51" si="5">IFERROR(N34+O34,N34)</f>
        <v>319</v>
      </c>
      <c r="Q34" t="str">
        <f>IFERROR(VLOOKUP(A34,'Bowlers 19'!$A$1:$O$51,1,0),"NA")</f>
        <v>NA</v>
      </c>
    </row>
    <row r="35" spans="1:17" x14ac:dyDescent="0.25">
      <c r="A35" t="s">
        <v>249</v>
      </c>
      <c r="B35" t="s">
        <v>62</v>
      </c>
      <c r="C35">
        <v>11</v>
      </c>
      <c r="D35">
        <v>10</v>
      </c>
      <c r="E35">
        <v>2</v>
      </c>
      <c r="F35">
        <v>220</v>
      </c>
      <c r="G35">
        <v>66</v>
      </c>
      <c r="H35">
        <v>0</v>
      </c>
      <c r="I35">
        <v>2</v>
      </c>
      <c r="J35">
        <v>27.5</v>
      </c>
      <c r="K35">
        <v>165.41</v>
      </c>
      <c r="L35">
        <v>16</v>
      </c>
      <c r="M35">
        <v>17</v>
      </c>
      <c r="N35">
        <f t="shared" si="3"/>
        <v>286</v>
      </c>
      <c r="O35" t="str">
        <f t="shared" si="4"/>
        <v>NA</v>
      </c>
      <c r="P35">
        <f t="shared" si="5"/>
        <v>286</v>
      </c>
      <c r="Q35" t="str">
        <f>IFERROR(VLOOKUP(A35,'Bowlers 19'!$A$1:$O$51,1,0),"NA")</f>
        <v>M M Ali</v>
      </c>
    </row>
    <row r="36" spans="1:17" x14ac:dyDescent="0.25">
      <c r="A36" t="s">
        <v>206</v>
      </c>
      <c r="B36" t="s">
        <v>55</v>
      </c>
      <c r="C36">
        <v>15</v>
      </c>
      <c r="D36">
        <v>14</v>
      </c>
      <c r="E36">
        <v>2</v>
      </c>
      <c r="F36">
        <v>244</v>
      </c>
      <c r="G36">
        <v>40</v>
      </c>
      <c r="H36">
        <v>0</v>
      </c>
      <c r="I36">
        <v>0</v>
      </c>
      <c r="J36">
        <v>20.329999999999998</v>
      </c>
      <c r="K36">
        <v>126.42</v>
      </c>
      <c r="L36">
        <v>11</v>
      </c>
      <c r="M36">
        <v>12</v>
      </c>
      <c r="N36">
        <f t="shared" si="3"/>
        <v>279</v>
      </c>
      <c r="O36" t="str">
        <f t="shared" si="4"/>
        <v>NA</v>
      </c>
      <c r="P36">
        <f t="shared" si="5"/>
        <v>279</v>
      </c>
      <c r="Q36" t="str">
        <f>IFERROR(VLOOKUP(A36,'Bowlers 19'!$A$1:$O$51,1,0),"NA")</f>
        <v>NA</v>
      </c>
    </row>
    <row r="37" spans="1:17" x14ac:dyDescent="0.25">
      <c r="A37" t="s">
        <v>253</v>
      </c>
      <c r="B37" t="s">
        <v>49</v>
      </c>
      <c r="C37">
        <v>10</v>
      </c>
      <c r="D37">
        <v>10</v>
      </c>
      <c r="E37">
        <v>1</v>
      </c>
      <c r="F37">
        <v>213</v>
      </c>
      <c r="G37">
        <v>59</v>
      </c>
      <c r="H37">
        <v>0</v>
      </c>
      <c r="I37">
        <v>1</v>
      </c>
      <c r="J37">
        <v>23.67</v>
      </c>
      <c r="K37">
        <v>129.88</v>
      </c>
      <c r="L37">
        <v>19</v>
      </c>
      <c r="M37">
        <v>7</v>
      </c>
      <c r="N37">
        <f t="shared" si="3"/>
        <v>254</v>
      </c>
      <c r="O37" t="str">
        <f t="shared" si="4"/>
        <v>NA</v>
      </c>
      <c r="P37">
        <f t="shared" si="5"/>
        <v>254</v>
      </c>
      <c r="Q37" t="str">
        <f>IFERROR(VLOOKUP(A37,'Bowlers 19'!$A$1:$O$51,1,0),"NA")</f>
        <v>NA</v>
      </c>
    </row>
    <row r="38" spans="1:17" x14ac:dyDescent="0.25">
      <c r="A38" t="s">
        <v>77</v>
      </c>
      <c r="B38" t="s">
        <v>62</v>
      </c>
      <c r="C38">
        <v>10</v>
      </c>
      <c r="D38">
        <v>10</v>
      </c>
      <c r="E38">
        <v>6</v>
      </c>
      <c r="F38">
        <v>211</v>
      </c>
      <c r="G38">
        <v>46</v>
      </c>
      <c r="H38">
        <v>0</v>
      </c>
      <c r="I38">
        <v>0</v>
      </c>
      <c r="J38">
        <v>52.75</v>
      </c>
      <c r="K38">
        <v>135.26</v>
      </c>
      <c r="L38">
        <v>14</v>
      </c>
      <c r="M38">
        <v>10</v>
      </c>
      <c r="N38">
        <f t="shared" si="3"/>
        <v>245</v>
      </c>
      <c r="O38" t="str">
        <f t="shared" si="4"/>
        <v>NA</v>
      </c>
      <c r="P38">
        <f t="shared" si="5"/>
        <v>245</v>
      </c>
      <c r="Q38" t="str">
        <f>IFERROR(VLOOKUP(A38,'Bowlers 19'!$A$1:$O$51,1,0),"NA")</f>
        <v>NA</v>
      </c>
    </row>
    <row r="39" spans="1:17" x14ac:dyDescent="0.25">
      <c r="A39" t="s">
        <v>241</v>
      </c>
      <c r="B39" t="s">
        <v>49</v>
      </c>
      <c r="C39">
        <v>8</v>
      </c>
      <c r="D39">
        <v>5</v>
      </c>
      <c r="E39">
        <v>1</v>
      </c>
      <c r="F39">
        <v>180</v>
      </c>
      <c r="G39">
        <v>67</v>
      </c>
      <c r="H39">
        <v>0</v>
      </c>
      <c r="I39">
        <v>1</v>
      </c>
      <c r="J39">
        <v>45</v>
      </c>
      <c r="K39">
        <v>125.87</v>
      </c>
      <c r="L39">
        <v>19</v>
      </c>
      <c r="M39">
        <v>4</v>
      </c>
      <c r="N39">
        <f t="shared" si="3"/>
        <v>215</v>
      </c>
      <c r="O39" t="str">
        <f t="shared" si="4"/>
        <v>NA</v>
      </c>
      <c r="P39">
        <f t="shared" si="5"/>
        <v>215</v>
      </c>
      <c r="Q39" t="str">
        <f>IFERROR(VLOOKUP(A39,'Bowlers 19'!$A$1:$O$51,1,0),"NA")</f>
        <v>NA</v>
      </c>
    </row>
    <row r="40" spans="1:17" x14ac:dyDescent="0.25">
      <c r="A40" t="s">
        <v>76</v>
      </c>
      <c r="B40" t="s">
        <v>49</v>
      </c>
      <c r="C40">
        <v>7</v>
      </c>
      <c r="D40">
        <v>6</v>
      </c>
      <c r="E40">
        <v>0</v>
      </c>
      <c r="F40">
        <v>168</v>
      </c>
      <c r="G40">
        <v>48</v>
      </c>
      <c r="H40">
        <v>0</v>
      </c>
      <c r="I40">
        <v>0</v>
      </c>
      <c r="J40">
        <v>28</v>
      </c>
      <c r="K40">
        <v>157.01</v>
      </c>
      <c r="L40">
        <v>9</v>
      </c>
      <c r="M40">
        <v>14</v>
      </c>
      <c r="N40">
        <f t="shared" si="3"/>
        <v>205</v>
      </c>
      <c r="O40" t="str">
        <f t="shared" si="4"/>
        <v>NA</v>
      </c>
      <c r="P40">
        <f t="shared" si="5"/>
        <v>205</v>
      </c>
      <c r="Q40" t="str">
        <f>IFERROR(VLOOKUP(A40,'Bowlers 19'!$A$1:$O$51,1,0),"NA")</f>
        <v>NA</v>
      </c>
    </row>
    <row r="41" spans="1:17" x14ac:dyDescent="0.25">
      <c r="A41" t="s">
        <v>245</v>
      </c>
      <c r="B41" t="s">
        <v>74</v>
      </c>
      <c r="C41">
        <v>7</v>
      </c>
      <c r="D41">
        <v>5</v>
      </c>
      <c r="E41">
        <v>0</v>
      </c>
      <c r="F41">
        <v>160</v>
      </c>
      <c r="G41">
        <v>50</v>
      </c>
      <c r="H41">
        <v>0</v>
      </c>
      <c r="I41">
        <v>1</v>
      </c>
      <c r="J41">
        <v>32</v>
      </c>
      <c r="K41">
        <v>126.98</v>
      </c>
      <c r="L41">
        <v>17</v>
      </c>
      <c r="M41">
        <v>5</v>
      </c>
      <c r="N41">
        <f t="shared" si="3"/>
        <v>195</v>
      </c>
      <c r="O41" t="str">
        <f t="shared" si="4"/>
        <v>NA</v>
      </c>
      <c r="P41">
        <f t="shared" si="5"/>
        <v>195</v>
      </c>
      <c r="Q41" t="str">
        <f>IFERROR(VLOOKUP(A41,'Bowlers 19'!$A$1:$O$51,1,0),"NA")</f>
        <v>NA</v>
      </c>
    </row>
    <row r="42" spans="1:17" x14ac:dyDescent="0.25">
      <c r="A42" t="s">
        <v>83</v>
      </c>
      <c r="B42" t="s">
        <v>55</v>
      </c>
      <c r="C42">
        <v>9</v>
      </c>
      <c r="D42">
        <v>9</v>
      </c>
      <c r="E42">
        <v>2</v>
      </c>
      <c r="F42">
        <v>156</v>
      </c>
      <c r="G42">
        <v>70</v>
      </c>
      <c r="H42">
        <v>0</v>
      </c>
      <c r="I42">
        <v>1</v>
      </c>
      <c r="J42">
        <v>22.29</v>
      </c>
      <c r="K42">
        <v>120</v>
      </c>
      <c r="L42">
        <v>12</v>
      </c>
      <c r="M42">
        <v>5</v>
      </c>
      <c r="N42">
        <f t="shared" si="3"/>
        <v>186</v>
      </c>
      <c r="O42" t="str">
        <f t="shared" si="4"/>
        <v>NA</v>
      </c>
      <c r="P42">
        <f t="shared" si="5"/>
        <v>186</v>
      </c>
      <c r="Q42" t="str">
        <f>IFERROR(VLOOKUP(A42,'Bowlers 19'!$A$1:$O$51,1,0),"NA")</f>
        <v>NA</v>
      </c>
    </row>
    <row r="43" spans="1:17" x14ac:dyDescent="0.25">
      <c r="A43" t="s">
        <v>106</v>
      </c>
      <c r="B43" t="s">
        <v>49</v>
      </c>
      <c r="C43">
        <v>13</v>
      </c>
      <c r="D43">
        <v>12</v>
      </c>
      <c r="E43">
        <v>8</v>
      </c>
      <c r="F43">
        <v>165</v>
      </c>
      <c r="G43">
        <v>33</v>
      </c>
      <c r="H43">
        <v>0</v>
      </c>
      <c r="I43">
        <v>0</v>
      </c>
      <c r="J43">
        <v>41.25</v>
      </c>
      <c r="K43">
        <v>137.5</v>
      </c>
      <c r="L43">
        <v>10</v>
      </c>
      <c r="M43">
        <v>4</v>
      </c>
      <c r="N43">
        <f t="shared" si="3"/>
        <v>183</v>
      </c>
      <c r="O43" t="str">
        <f t="shared" si="4"/>
        <v>NA</v>
      </c>
      <c r="P43">
        <f t="shared" si="5"/>
        <v>183</v>
      </c>
      <c r="Q43" t="str">
        <f>IFERROR(VLOOKUP(A43,'Bowlers 19'!$A$1:$O$51,1,0),"NA")</f>
        <v>NA</v>
      </c>
    </row>
    <row r="44" spans="1:17" x14ac:dyDescent="0.25">
      <c r="A44" t="s">
        <v>94</v>
      </c>
      <c r="B44" t="s">
        <v>74</v>
      </c>
      <c r="C44">
        <v>8</v>
      </c>
      <c r="D44">
        <v>7</v>
      </c>
      <c r="E44">
        <v>1</v>
      </c>
      <c r="F44">
        <v>141</v>
      </c>
      <c r="G44">
        <v>50</v>
      </c>
      <c r="H44">
        <v>0</v>
      </c>
      <c r="I44">
        <v>1</v>
      </c>
      <c r="J44">
        <v>23.5</v>
      </c>
      <c r="K44">
        <v>119.49</v>
      </c>
      <c r="L44">
        <v>13</v>
      </c>
      <c r="M44">
        <v>2</v>
      </c>
      <c r="N44">
        <f t="shared" si="3"/>
        <v>166</v>
      </c>
      <c r="O44" t="str">
        <f t="shared" si="4"/>
        <v>NA</v>
      </c>
      <c r="P44">
        <f t="shared" si="5"/>
        <v>166</v>
      </c>
      <c r="Q44" t="str">
        <f>IFERROR(VLOOKUP(A44,'Bowlers 19'!$A$1:$O$51,1,0),"NA")</f>
        <v>NA</v>
      </c>
    </row>
    <row r="45" spans="1:17" x14ac:dyDescent="0.25">
      <c r="A45" t="s">
        <v>87</v>
      </c>
      <c r="B45" t="s">
        <v>74</v>
      </c>
      <c r="C45">
        <v>9</v>
      </c>
      <c r="D45">
        <v>9</v>
      </c>
      <c r="E45">
        <v>3</v>
      </c>
      <c r="F45">
        <v>123</v>
      </c>
      <c r="G45">
        <v>46</v>
      </c>
      <c r="H45">
        <v>0</v>
      </c>
      <c r="I45">
        <v>0</v>
      </c>
      <c r="J45">
        <v>20.5</v>
      </c>
      <c r="K45">
        <v>124.24</v>
      </c>
      <c r="L45">
        <v>8</v>
      </c>
      <c r="M45">
        <v>4</v>
      </c>
      <c r="N45">
        <f t="shared" si="3"/>
        <v>139</v>
      </c>
      <c r="O45" t="str">
        <f t="shared" si="4"/>
        <v>NA</v>
      </c>
      <c r="P45">
        <f t="shared" si="5"/>
        <v>139</v>
      </c>
      <c r="Q45" t="str">
        <f>IFERROR(VLOOKUP(A45,'Bowlers 19'!$A$1:$O$51,1,0),"NA")</f>
        <v>B A Stokes</v>
      </c>
    </row>
    <row r="46" spans="1:17" x14ac:dyDescent="0.25">
      <c r="A46" t="s">
        <v>255</v>
      </c>
      <c r="B46" t="s">
        <v>55</v>
      </c>
      <c r="C46">
        <v>8</v>
      </c>
      <c r="D46">
        <v>7</v>
      </c>
      <c r="E46">
        <v>1</v>
      </c>
      <c r="F46">
        <v>115</v>
      </c>
      <c r="G46">
        <v>31</v>
      </c>
      <c r="H46">
        <v>0</v>
      </c>
      <c r="I46">
        <v>0</v>
      </c>
      <c r="J46">
        <v>19.170000000000002</v>
      </c>
      <c r="K46">
        <v>151.32</v>
      </c>
      <c r="L46">
        <v>8</v>
      </c>
      <c r="M46">
        <v>7</v>
      </c>
      <c r="N46">
        <f t="shared" si="3"/>
        <v>137</v>
      </c>
      <c r="O46" t="str">
        <f t="shared" si="4"/>
        <v>NA</v>
      </c>
      <c r="P46">
        <f t="shared" si="5"/>
        <v>137</v>
      </c>
      <c r="Q46" t="str">
        <f>IFERROR(VLOOKUP(A46,'Bowlers 19'!$A$1:$O$51,1,0),"NA")</f>
        <v>Mohammad Nabi</v>
      </c>
    </row>
    <row r="47" spans="1:17" x14ac:dyDescent="0.25">
      <c r="A47" t="s">
        <v>251</v>
      </c>
      <c r="B47" t="s">
        <v>58</v>
      </c>
      <c r="C47">
        <v>4</v>
      </c>
      <c r="D47">
        <v>4</v>
      </c>
      <c r="E47">
        <v>0</v>
      </c>
      <c r="F47">
        <v>98</v>
      </c>
      <c r="G47">
        <v>53</v>
      </c>
      <c r="H47">
        <v>0</v>
      </c>
      <c r="I47">
        <v>1</v>
      </c>
      <c r="J47">
        <v>24.5</v>
      </c>
      <c r="K47">
        <v>130.66999999999999</v>
      </c>
      <c r="L47">
        <v>7</v>
      </c>
      <c r="M47">
        <v>6</v>
      </c>
      <c r="N47">
        <f t="shared" si="3"/>
        <v>125</v>
      </c>
      <c r="O47" t="str">
        <f t="shared" si="4"/>
        <v>NA</v>
      </c>
      <c r="P47">
        <f t="shared" si="5"/>
        <v>125</v>
      </c>
      <c r="Q47" t="str">
        <f>IFERROR(VLOOKUP(A47,'Bowlers 19'!$A$1:$O$51,1,0),"NA")</f>
        <v>NA</v>
      </c>
    </row>
    <row r="48" spans="1:17" x14ac:dyDescent="0.25">
      <c r="A48" t="s">
        <v>93</v>
      </c>
      <c r="B48" t="s">
        <v>66</v>
      </c>
      <c r="C48">
        <v>16</v>
      </c>
      <c r="D48">
        <v>9</v>
      </c>
      <c r="E48">
        <v>6</v>
      </c>
      <c r="F48">
        <v>106</v>
      </c>
      <c r="G48">
        <v>31</v>
      </c>
      <c r="H48">
        <v>0</v>
      </c>
      <c r="I48">
        <v>0</v>
      </c>
      <c r="J48">
        <v>35.33</v>
      </c>
      <c r="K48">
        <v>120.45</v>
      </c>
      <c r="L48">
        <v>7</v>
      </c>
      <c r="M48">
        <v>4</v>
      </c>
      <c r="N48">
        <f t="shared" si="3"/>
        <v>121</v>
      </c>
      <c r="O48" t="str">
        <f t="shared" si="4"/>
        <v>NA</v>
      </c>
      <c r="P48">
        <f t="shared" si="5"/>
        <v>121</v>
      </c>
      <c r="Q48" t="str">
        <f>IFERROR(VLOOKUP(A48,'Bowlers 19'!$A$1:$O$51,1,0),"NA")</f>
        <v>R A Jadeja</v>
      </c>
    </row>
    <row r="49" spans="1:17" x14ac:dyDescent="0.25">
      <c r="A49" t="s">
        <v>244</v>
      </c>
      <c r="B49" t="s">
        <v>62</v>
      </c>
      <c r="C49">
        <v>3</v>
      </c>
      <c r="D49">
        <v>3</v>
      </c>
      <c r="E49">
        <v>0</v>
      </c>
      <c r="F49">
        <v>98</v>
      </c>
      <c r="G49">
        <v>65</v>
      </c>
      <c r="H49">
        <v>0</v>
      </c>
      <c r="I49">
        <v>1</v>
      </c>
      <c r="J49">
        <v>32.67</v>
      </c>
      <c r="K49">
        <v>140</v>
      </c>
      <c r="L49">
        <v>11</v>
      </c>
      <c r="M49">
        <v>2</v>
      </c>
      <c r="N49">
        <f t="shared" si="3"/>
        <v>121</v>
      </c>
      <c r="O49" t="str">
        <f t="shared" si="4"/>
        <v>NA</v>
      </c>
      <c r="P49">
        <f t="shared" si="5"/>
        <v>121</v>
      </c>
      <c r="Q49" t="str">
        <f>IFERROR(VLOOKUP(A49,'Bowlers 19'!$A$1:$O$51,1,0),"NA")</f>
        <v>NA</v>
      </c>
    </row>
    <row r="50" spans="1:17" x14ac:dyDescent="0.25">
      <c r="A50" t="s">
        <v>254</v>
      </c>
      <c r="B50" t="s">
        <v>52</v>
      </c>
      <c r="C50">
        <v>4</v>
      </c>
      <c r="D50">
        <v>4</v>
      </c>
      <c r="E50">
        <v>0</v>
      </c>
      <c r="F50">
        <v>84</v>
      </c>
      <c r="G50">
        <v>40</v>
      </c>
      <c r="H50">
        <v>0</v>
      </c>
      <c r="I50">
        <v>0</v>
      </c>
      <c r="J50">
        <v>21</v>
      </c>
      <c r="K50">
        <v>120</v>
      </c>
      <c r="L50">
        <v>9</v>
      </c>
      <c r="M50">
        <v>4</v>
      </c>
      <c r="N50">
        <f t="shared" si="3"/>
        <v>101</v>
      </c>
      <c r="O50" t="str">
        <f t="shared" si="4"/>
        <v>NA</v>
      </c>
      <c r="P50">
        <f t="shared" si="5"/>
        <v>101</v>
      </c>
      <c r="Q50" t="str">
        <f>IFERROR(VLOOKUP(A50,'Bowlers 19'!$A$1:$O$51,1,0),"NA")</f>
        <v>NA</v>
      </c>
    </row>
    <row r="51" spans="1:17" x14ac:dyDescent="0.25">
      <c r="A51" t="s">
        <v>246</v>
      </c>
      <c r="B51" t="s">
        <v>66</v>
      </c>
      <c r="C51">
        <v>2</v>
      </c>
      <c r="D51">
        <v>2</v>
      </c>
      <c r="E51">
        <v>0</v>
      </c>
      <c r="F51">
        <v>64</v>
      </c>
      <c r="G51">
        <v>38</v>
      </c>
      <c r="H51">
        <v>0</v>
      </c>
      <c r="I51">
        <v>0</v>
      </c>
      <c r="J51">
        <v>32</v>
      </c>
      <c r="K51">
        <v>104.92</v>
      </c>
      <c r="L51">
        <v>6</v>
      </c>
      <c r="M51">
        <v>1</v>
      </c>
      <c r="N51">
        <f t="shared" si="3"/>
        <v>72</v>
      </c>
      <c r="O51" t="str">
        <f t="shared" si="4"/>
        <v>NA</v>
      </c>
      <c r="P51">
        <f t="shared" si="5"/>
        <v>72</v>
      </c>
      <c r="Q51" t="str">
        <f>IFERROR(VLOOKUP(A51,'Bowlers 19'!$A$1:$O$51,1,0),"NA")</f>
        <v>NA</v>
      </c>
    </row>
  </sheetData>
  <sortState ref="A2:Q51">
    <sortCondition descending="1" ref="P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62"/>
  <sheetViews>
    <sheetView workbookViewId="0">
      <selection activeCell="S22" sqref="S22"/>
    </sheetView>
  </sheetViews>
  <sheetFormatPr defaultRowHeight="15" x14ac:dyDescent="0.25"/>
  <cols>
    <col min="1" max="1" width="18.42578125" bestFit="1" customWidth="1"/>
    <col min="2" max="2" width="28" bestFit="1" customWidth="1"/>
    <col min="13" max="13" width="8.42578125" bestFit="1" customWidth="1"/>
    <col min="14" max="14" width="24.28515625" bestFit="1" customWidth="1"/>
    <col min="16" max="16" width="19.5703125" bestFit="1" customWidth="1"/>
  </cols>
  <sheetData>
    <row r="1" spans="1:16" ht="18.75" x14ac:dyDescent="0.3">
      <c r="A1" s="1" t="s">
        <v>35</v>
      </c>
      <c r="B1" s="1" t="s">
        <v>36</v>
      </c>
      <c r="C1" s="1" t="s">
        <v>114</v>
      </c>
      <c r="D1" s="1" t="s">
        <v>115</v>
      </c>
      <c r="E1" s="1" t="s">
        <v>116</v>
      </c>
      <c r="F1" s="1" t="s">
        <v>40</v>
      </c>
      <c r="G1" s="1" t="s">
        <v>117</v>
      </c>
      <c r="H1" s="1" t="s">
        <v>44</v>
      </c>
      <c r="I1" s="1" t="s">
        <v>118</v>
      </c>
      <c r="J1" s="1" t="s">
        <v>119</v>
      </c>
      <c r="K1" s="1" t="s">
        <v>45</v>
      </c>
      <c r="L1" s="1" t="s">
        <v>120</v>
      </c>
      <c r="M1" s="1" t="s">
        <v>238</v>
      </c>
      <c r="N1" s="1" t="s">
        <v>292</v>
      </c>
      <c r="O1" s="1" t="s">
        <v>112</v>
      </c>
      <c r="P1" s="1" t="s">
        <v>113</v>
      </c>
    </row>
    <row r="2" spans="1:16" x14ac:dyDescent="0.25">
      <c r="A2" t="s">
        <v>256</v>
      </c>
      <c r="B2" t="s">
        <v>257</v>
      </c>
      <c r="C2">
        <v>17</v>
      </c>
      <c r="D2">
        <v>64.2</v>
      </c>
      <c r="E2">
        <v>1</v>
      </c>
      <c r="F2">
        <v>431</v>
      </c>
      <c r="G2">
        <v>26</v>
      </c>
      <c r="H2">
        <v>16.579999999999998</v>
      </c>
      <c r="I2">
        <v>44663</v>
      </c>
      <c r="J2">
        <v>6.7</v>
      </c>
      <c r="K2">
        <v>14.85</v>
      </c>
      <c r="L2">
        <v>2</v>
      </c>
      <c r="M2">
        <f>((G2*25)+(L2*8)+(E2*8))</f>
        <v>674</v>
      </c>
      <c r="N2" t="str">
        <f>IF(J2&lt;4,6,IF(AND(J2&gt;=4,J2&lt;=4.99),4,IF(AND(J2&gt;=5,J2&lt;=6),2,IF(AND(J2&gt;=9,J2&lt;=10),-2,IF(AND(J2&gt;=10.01,J2&lt;=11),-4,IF(J2&gt;11,-6,"NA"))))))</f>
        <v>NA</v>
      </c>
      <c r="O2">
        <f>IFERROR(M2+N2,M2)</f>
        <v>674</v>
      </c>
      <c r="P2" t="str">
        <f>IFERROR(VLOOKUP(A2,'Batsmen 19'!$A$1:$O$68,1,0),"NA")</f>
        <v>NA</v>
      </c>
    </row>
    <row r="3" spans="1:16" x14ac:dyDescent="0.25">
      <c r="A3" t="s">
        <v>121</v>
      </c>
      <c r="B3" t="s">
        <v>122</v>
      </c>
      <c r="C3">
        <v>12</v>
      </c>
      <c r="D3">
        <v>46</v>
      </c>
      <c r="E3">
        <v>0</v>
      </c>
      <c r="F3">
        <v>368</v>
      </c>
      <c r="G3">
        <v>25</v>
      </c>
      <c r="H3">
        <v>14.72</v>
      </c>
      <c r="I3">
        <v>44672</v>
      </c>
      <c r="J3">
        <v>7.83</v>
      </c>
      <c r="K3">
        <v>11.28</v>
      </c>
      <c r="L3">
        <v>2</v>
      </c>
      <c r="M3">
        <f t="shared" ref="M3:M62" si="0">((G3*25)+(L3*8)+(E3*8))</f>
        <v>641</v>
      </c>
      <c r="N3" t="str">
        <f t="shared" ref="N3:N62" si="1">IF(J3&lt;4,6,IF(AND(J3&gt;=4,J3&lt;=4.99),4,IF(AND(J3&gt;=5,J3&lt;=6),2,IF(AND(J3&gt;=9,J3&lt;=10),-2,IF(AND(J3&gt;=10.01,J3&lt;=11),-4,IF(J3&gt;11,-6,"NA"))))))</f>
        <v>NA</v>
      </c>
      <c r="O3">
        <f t="shared" ref="O3:O62" si="2">IFERROR(M3+N3,M3)</f>
        <v>641</v>
      </c>
      <c r="P3" t="str">
        <f>IFERROR(VLOOKUP(A3,'Batsmen 19'!$A$1:$O$68,1,0),"NA")</f>
        <v>NA</v>
      </c>
    </row>
    <row r="4" spans="1:16" x14ac:dyDescent="0.25">
      <c r="A4" t="s">
        <v>150</v>
      </c>
      <c r="B4" t="s">
        <v>151</v>
      </c>
      <c r="C4">
        <v>17</v>
      </c>
      <c r="D4">
        <v>64.3</v>
      </c>
      <c r="E4">
        <v>2</v>
      </c>
      <c r="F4">
        <v>482</v>
      </c>
      <c r="G4">
        <v>22</v>
      </c>
      <c r="H4">
        <v>21.91</v>
      </c>
      <c r="I4">
        <v>44640</v>
      </c>
      <c r="J4">
        <v>7.47</v>
      </c>
      <c r="K4">
        <v>17.59</v>
      </c>
      <c r="L4">
        <v>0</v>
      </c>
      <c r="M4">
        <f t="shared" si="0"/>
        <v>566</v>
      </c>
      <c r="N4" t="str">
        <f t="shared" si="1"/>
        <v>NA</v>
      </c>
      <c r="O4">
        <f t="shared" si="2"/>
        <v>566</v>
      </c>
      <c r="P4" t="str">
        <f>IFERROR(VLOOKUP(A4,'Batsmen 19'!$A$1:$O$68,1,0),"NA")</f>
        <v>NA</v>
      </c>
    </row>
    <row r="5" spans="1:16" x14ac:dyDescent="0.25">
      <c r="A5" t="s">
        <v>164</v>
      </c>
      <c r="B5" t="s">
        <v>165</v>
      </c>
      <c r="C5">
        <v>14</v>
      </c>
      <c r="D5">
        <v>47</v>
      </c>
      <c r="E5">
        <v>1</v>
      </c>
      <c r="F5">
        <v>346</v>
      </c>
      <c r="G5">
        <v>20</v>
      </c>
      <c r="H5">
        <v>17.3</v>
      </c>
      <c r="I5">
        <v>44632</v>
      </c>
      <c r="J5">
        <v>7.36</v>
      </c>
      <c r="K5">
        <v>14.1</v>
      </c>
      <c r="L5">
        <v>0</v>
      </c>
      <c r="M5">
        <f t="shared" si="0"/>
        <v>508</v>
      </c>
      <c r="N5" t="str">
        <f t="shared" si="1"/>
        <v>NA</v>
      </c>
      <c r="O5">
        <f t="shared" si="2"/>
        <v>508</v>
      </c>
      <c r="P5" t="str">
        <f>IFERROR(VLOOKUP(A5,'Batsmen 19'!$A$1:$O$68,1,0),"NA")</f>
        <v>NA</v>
      </c>
    </row>
    <row r="6" spans="1:16" x14ac:dyDescent="0.25">
      <c r="A6" t="s">
        <v>182</v>
      </c>
      <c r="B6" t="s">
        <v>183</v>
      </c>
      <c r="C6">
        <v>9</v>
      </c>
      <c r="D6">
        <v>34.5</v>
      </c>
      <c r="E6">
        <v>0</v>
      </c>
      <c r="F6">
        <v>287</v>
      </c>
      <c r="G6">
        <v>19</v>
      </c>
      <c r="H6">
        <v>15.11</v>
      </c>
      <c r="I6">
        <v>44650</v>
      </c>
      <c r="J6">
        <v>8.24</v>
      </c>
      <c r="K6">
        <v>11</v>
      </c>
      <c r="L6">
        <v>0</v>
      </c>
      <c r="M6">
        <f t="shared" si="0"/>
        <v>475</v>
      </c>
      <c r="N6" t="str">
        <f t="shared" si="1"/>
        <v>NA</v>
      </c>
      <c r="O6">
        <f t="shared" si="2"/>
        <v>475</v>
      </c>
      <c r="P6" t="str">
        <f>IFERROR(VLOOKUP(A6,'Batsmen 19'!$A$1:$O$68,1,0),"NA")</f>
        <v>NA</v>
      </c>
    </row>
    <row r="7" spans="1:16" x14ac:dyDescent="0.25">
      <c r="A7" t="s">
        <v>131</v>
      </c>
      <c r="B7" t="s">
        <v>132</v>
      </c>
      <c r="C7">
        <v>14</v>
      </c>
      <c r="D7">
        <v>54</v>
      </c>
      <c r="E7">
        <v>0</v>
      </c>
      <c r="F7">
        <v>469</v>
      </c>
      <c r="G7">
        <v>19</v>
      </c>
      <c r="H7">
        <v>24.68</v>
      </c>
      <c r="I7">
        <v>44641</v>
      </c>
      <c r="J7">
        <v>8.69</v>
      </c>
      <c r="K7">
        <v>17.05</v>
      </c>
      <c r="L7">
        <v>0</v>
      </c>
      <c r="M7">
        <f t="shared" si="0"/>
        <v>475</v>
      </c>
      <c r="N7" t="str">
        <f t="shared" si="1"/>
        <v>NA</v>
      </c>
      <c r="O7">
        <f t="shared" si="2"/>
        <v>475</v>
      </c>
      <c r="P7" t="str">
        <f>IFERROR(VLOOKUP(A7,'Batsmen 19'!$A$1:$O$68,1,0),"NA")</f>
        <v>NA</v>
      </c>
    </row>
    <row r="8" spans="1:16" x14ac:dyDescent="0.25">
      <c r="A8" t="s">
        <v>123</v>
      </c>
      <c r="B8" t="s">
        <v>124</v>
      </c>
      <c r="C8">
        <v>16</v>
      </c>
      <c r="D8">
        <v>61.4</v>
      </c>
      <c r="E8">
        <v>1</v>
      </c>
      <c r="F8">
        <v>409</v>
      </c>
      <c r="G8">
        <v>19</v>
      </c>
      <c r="H8">
        <v>21.53</v>
      </c>
      <c r="I8">
        <v>44640</v>
      </c>
      <c r="J8">
        <v>6.63</v>
      </c>
      <c r="K8">
        <v>19.47</v>
      </c>
      <c r="L8">
        <v>0</v>
      </c>
      <c r="M8">
        <f t="shared" si="0"/>
        <v>483</v>
      </c>
      <c r="N8" t="str">
        <f t="shared" si="1"/>
        <v>NA</v>
      </c>
      <c r="O8">
        <f t="shared" si="2"/>
        <v>483</v>
      </c>
      <c r="P8" t="str">
        <f>IFERROR(VLOOKUP(A8,'Batsmen 19'!$A$1:$O$68,1,0),"NA")</f>
        <v>NA</v>
      </c>
    </row>
    <row r="9" spans="1:16" x14ac:dyDescent="0.25">
      <c r="A9" t="s">
        <v>129</v>
      </c>
      <c r="B9" t="s">
        <v>130</v>
      </c>
      <c r="C9">
        <v>14</v>
      </c>
      <c r="D9">
        <v>49.2</v>
      </c>
      <c r="E9">
        <v>1</v>
      </c>
      <c r="F9">
        <v>386</v>
      </c>
      <c r="G9">
        <v>18</v>
      </c>
      <c r="H9">
        <v>21.44</v>
      </c>
      <c r="I9">
        <v>13971</v>
      </c>
      <c r="J9">
        <v>7.82</v>
      </c>
      <c r="K9">
        <v>16.440000000000001</v>
      </c>
      <c r="L9">
        <v>1</v>
      </c>
      <c r="M9">
        <f t="shared" si="0"/>
        <v>466</v>
      </c>
      <c r="N9" t="str">
        <f t="shared" si="1"/>
        <v>NA</v>
      </c>
      <c r="O9">
        <f t="shared" si="2"/>
        <v>466</v>
      </c>
      <c r="P9" t="str">
        <f>IFERROR(VLOOKUP(A9,'Batsmen 19'!$A$1:$O$68,1,0),"NA")</f>
        <v>NA</v>
      </c>
    </row>
    <row r="10" spans="1:16" x14ac:dyDescent="0.25">
      <c r="A10" t="s">
        <v>135</v>
      </c>
      <c r="B10" t="s">
        <v>136</v>
      </c>
      <c r="C10">
        <v>15</v>
      </c>
      <c r="D10">
        <v>60</v>
      </c>
      <c r="E10">
        <v>1</v>
      </c>
      <c r="F10">
        <v>377</v>
      </c>
      <c r="G10">
        <v>17</v>
      </c>
      <c r="H10">
        <v>22.18</v>
      </c>
      <c r="I10">
        <v>44641</v>
      </c>
      <c r="J10">
        <v>6.28</v>
      </c>
      <c r="K10">
        <v>21.18</v>
      </c>
      <c r="L10">
        <v>0</v>
      </c>
      <c r="M10">
        <f t="shared" si="0"/>
        <v>433</v>
      </c>
      <c r="N10" t="str">
        <f t="shared" si="1"/>
        <v>NA</v>
      </c>
      <c r="O10">
        <f t="shared" si="2"/>
        <v>433</v>
      </c>
      <c r="P10" t="str">
        <f>IFERROR(VLOOKUP(A10,'Batsmen 19'!$A$1:$O$68,1,0),"NA")</f>
        <v>NA</v>
      </c>
    </row>
    <row r="11" spans="1:16" x14ac:dyDescent="0.25">
      <c r="A11" t="s">
        <v>258</v>
      </c>
      <c r="B11" t="s">
        <v>259</v>
      </c>
      <c r="C11">
        <v>11</v>
      </c>
      <c r="D11">
        <v>44</v>
      </c>
      <c r="E11">
        <v>1</v>
      </c>
      <c r="F11">
        <v>312</v>
      </c>
      <c r="G11">
        <v>16</v>
      </c>
      <c r="H11">
        <v>19.5</v>
      </c>
      <c r="I11">
        <v>44640</v>
      </c>
      <c r="J11">
        <v>7.09</v>
      </c>
      <c r="K11">
        <v>16.5</v>
      </c>
      <c r="L11">
        <v>0</v>
      </c>
      <c r="M11">
        <f t="shared" si="0"/>
        <v>408</v>
      </c>
      <c r="N11" t="str">
        <f t="shared" si="1"/>
        <v>NA</v>
      </c>
      <c r="O11">
        <f t="shared" si="2"/>
        <v>408</v>
      </c>
      <c r="P11" t="str">
        <f>IFERROR(VLOOKUP(A11,'Batsmen 19'!$A$1:$O$68,1,0),"NA")</f>
        <v>NA</v>
      </c>
    </row>
    <row r="12" spans="1:16" x14ac:dyDescent="0.25">
      <c r="A12" t="s">
        <v>260</v>
      </c>
      <c r="B12" t="s">
        <v>124</v>
      </c>
      <c r="C12">
        <v>12</v>
      </c>
      <c r="D12">
        <v>44.5</v>
      </c>
      <c r="E12">
        <v>0</v>
      </c>
      <c r="F12">
        <v>438</v>
      </c>
      <c r="G12">
        <v>16</v>
      </c>
      <c r="H12">
        <v>27.38</v>
      </c>
      <c r="I12">
        <v>11414</v>
      </c>
      <c r="J12">
        <v>9.77</v>
      </c>
      <c r="K12">
        <v>16.809999999999999</v>
      </c>
      <c r="L12">
        <v>2</v>
      </c>
      <c r="M12">
        <f t="shared" si="0"/>
        <v>416</v>
      </c>
      <c r="N12">
        <f t="shared" si="1"/>
        <v>-2</v>
      </c>
      <c r="O12">
        <f t="shared" si="2"/>
        <v>414</v>
      </c>
      <c r="P12" t="str">
        <f>IFERROR(VLOOKUP(A12,'Batsmen 19'!$A$1:$O$68,1,0),"NA")</f>
        <v>NA</v>
      </c>
    </row>
    <row r="13" spans="1:16" x14ac:dyDescent="0.25">
      <c r="A13" t="s">
        <v>93</v>
      </c>
      <c r="B13" t="s">
        <v>192</v>
      </c>
      <c r="C13">
        <v>16</v>
      </c>
      <c r="D13">
        <v>54</v>
      </c>
      <c r="E13">
        <v>1</v>
      </c>
      <c r="F13">
        <v>343</v>
      </c>
      <c r="G13">
        <v>15</v>
      </c>
      <c r="H13">
        <v>22.87</v>
      </c>
      <c r="I13">
        <v>44629</v>
      </c>
      <c r="J13">
        <v>6.35</v>
      </c>
      <c r="K13">
        <v>21.6</v>
      </c>
      <c r="L13">
        <v>0</v>
      </c>
      <c r="M13">
        <f t="shared" si="0"/>
        <v>383</v>
      </c>
      <c r="N13" t="str">
        <f t="shared" si="1"/>
        <v>NA</v>
      </c>
      <c r="O13">
        <f t="shared" si="2"/>
        <v>383</v>
      </c>
      <c r="P13" t="str">
        <f>IFERROR(VLOOKUP(A13,'Batsmen 19'!$A$1:$O$68,1,0),"NA")</f>
        <v>R A Jadeja</v>
      </c>
    </row>
    <row r="14" spans="1:16" x14ac:dyDescent="0.25">
      <c r="A14" t="s">
        <v>146</v>
      </c>
      <c r="B14" t="s">
        <v>147</v>
      </c>
      <c r="C14">
        <v>14</v>
      </c>
      <c r="D14">
        <v>55</v>
      </c>
      <c r="E14">
        <v>0</v>
      </c>
      <c r="F14">
        <v>400</v>
      </c>
      <c r="G14">
        <v>15</v>
      </c>
      <c r="H14">
        <v>26.67</v>
      </c>
      <c r="I14">
        <v>44643</v>
      </c>
      <c r="J14">
        <v>7.27</v>
      </c>
      <c r="K14">
        <v>22</v>
      </c>
      <c r="L14">
        <v>0</v>
      </c>
      <c r="M14">
        <f t="shared" si="0"/>
        <v>375</v>
      </c>
      <c r="N14" t="str">
        <f t="shared" si="1"/>
        <v>NA</v>
      </c>
      <c r="O14">
        <f t="shared" si="2"/>
        <v>375</v>
      </c>
      <c r="P14" t="str">
        <f>IFERROR(VLOOKUP(A14,'Batsmen 19'!$A$1:$O$68,1,0),"NA")</f>
        <v>NA</v>
      </c>
    </row>
    <row r="15" spans="1:16" x14ac:dyDescent="0.25">
      <c r="A15" t="s">
        <v>89</v>
      </c>
      <c r="B15" t="s">
        <v>261</v>
      </c>
      <c r="C15">
        <v>16</v>
      </c>
      <c r="D15">
        <v>42.3</v>
      </c>
      <c r="E15">
        <v>0</v>
      </c>
      <c r="F15">
        <v>390</v>
      </c>
      <c r="G15">
        <v>14</v>
      </c>
      <c r="H15">
        <v>27.86</v>
      </c>
      <c r="I15">
        <v>44640</v>
      </c>
      <c r="J15">
        <v>9.18</v>
      </c>
      <c r="K15">
        <v>18.21</v>
      </c>
      <c r="L15">
        <v>0</v>
      </c>
      <c r="M15">
        <f t="shared" si="0"/>
        <v>350</v>
      </c>
      <c r="N15">
        <f t="shared" si="1"/>
        <v>-2</v>
      </c>
      <c r="O15">
        <f t="shared" si="2"/>
        <v>348</v>
      </c>
      <c r="P15" t="str">
        <f>IFERROR(VLOOKUP(A15,'Batsmen 19'!$A$1:$O$68,1,0),"NA")</f>
        <v>H H Pandya</v>
      </c>
    </row>
    <row r="16" spans="1:16" x14ac:dyDescent="0.25">
      <c r="A16" t="s">
        <v>141</v>
      </c>
      <c r="B16" t="s">
        <v>142</v>
      </c>
      <c r="C16">
        <v>13</v>
      </c>
      <c r="D16">
        <v>47</v>
      </c>
      <c r="E16">
        <v>0</v>
      </c>
      <c r="F16">
        <v>308</v>
      </c>
      <c r="G16">
        <v>13</v>
      </c>
      <c r="H16">
        <v>23.69</v>
      </c>
      <c r="I16">
        <v>44639</v>
      </c>
      <c r="J16">
        <v>6.55</v>
      </c>
      <c r="K16">
        <v>21.69</v>
      </c>
      <c r="L16">
        <v>0</v>
      </c>
      <c r="M16">
        <f t="shared" si="0"/>
        <v>325</v>
      </c>
      <c r="N16" t="str">
        <f t="shared" si="1"/>
        <v>NA</v>
      </c>
      <c r="O16">
        <f t="shared" si="2"/>
        <v>325</v>
      </c>
      <c r="P16" t="str">
        <f>IFERROR(VLOOKUP(A16,'Batsmen 19'!$A$1:$O$68,1,0),"NA")</f>
        <v>NA</v>
      </c>
    </row>
    <row r="17" spans="1:16" x14ac:dyDescent="0.25">
      <c r="A17" t="s">
        <v>262</v>
      </c>
      <c r="B17" t="s">
        <v>263</v>
      </c>
      <c r="C17">
        <v>13</v>
      </c>
      <c r="D17">
        <v>46</v>
      </c>
      <c r="E17">
        <v>1</v>
      </c>
      <c r="F17">
        <v>353</v>
      </c>
      <c r="G17">
        <v>13</v>
      </c>
      <c r="H17">
        <v>27.15</v>
      </c>
      <c r="I17">
        <v>13940</v>
      </c>
      <c r="J17">
        <v>7.67</v>
      </c>
      <c r="K17">
        <v>21.23</v>
      </c>
      <c r="L17">
        <v>0</v>
      </c>
      <c r="M17">
        <f t="shared" si="0"/>
        <v>333</v>
      </c>
      <c r="N17" t="str">
        <f t="shared" si="1"/>
        <v>NA</v>
      </c>
      <c r="O17">
        <f t="shared" si="2"/>
        <v>333</v>
      </c>
      <c r="P17" t="str">
        <f>IFERROR(VLOOKUP(A17,'Batsmen 19'!$A$1:$O$68,1,0),"NA")</f>
        <v>NA</v>
      </c>
    </row>
    <row r="18" spans="1:16" x14ac:dyDescent="0.25">
      <c r="A18" t="s">
        <v>156</v>
      </c>
      <c r="B18" t="s">
        <v>157</v>
      </c>
      <c r="C18">
        <v>9</v>
      </c>
      <c r="D18">
        <v>33</v>
      </c>
      <c r="E18">
        <v>0</v>
      </c>
      <c r="F18">
        <v>306</v>
      </c>
      <c r="G18">
        <v>13</v>
      </c>
      <c r="H18">
        <v>23.54</v>
      </c>
      <c r="I18">
        <v>44642</v>
      </c>
      <c r="J18">
        <v>9.27</v>
      </c>
      <c r="K18">
        <v>15.23</v>
      </c>
      <c r="L18">
        <v>0</v>
      </c>
      <c r="M18">
        <f t="shared" si="0"/>
        <v>325</v>
      </c>
      <c r="N18">
        <f t="shared" si="1"/>
        <v>-2</v>
      </c>
      <c r="O18">
        <f t="shared" si="2"/>
        <v>323</v>
      </c>
      <c r="P18" t="str">
        <f>IFERROR(VLOOKUP(A18,'Batsmen 19'!$A$1:$O$68,1,0),"NA")</f>
        <v>NA</v>
      </c>
    </row>
    <row r="19" spans="1:16" x14ac:dyDescent="0.25">
      <c r="A19" t="s">
        <v>217</v>
      </c>
      <c r="B19" t="s">
        <v>218</v>
      </c>
      <c r="C19">
        <v>15</v>
      </c>
      <c r="D19">
        <v>59</v>
      </c>
      <c r="E19">
        <v>1</v>
      </c>
      <c r="F19">
        <v>461</v>
      </c>
      <c r="G19">
        <v>13</v>
      </c>
      <c r="H19">
        <v>35.46</v>
      </c>
      <c r="I19">
        <v>44616</v>
      </c>
      <c r="J19">
        <v>7.81</v>
      </c>
      <c r="K19">
        <v>27.23</v>
      </c>
      <c r="L19">
        <v>0</v>
      </c>
      <c r="M19">
        <f t="shared" si="0"/>
        <v>333</v>
      </c>
      <c r="N19" t="str">
        <f t="shared" si="1"/>
        <v>NA</v>
      </c>
      <c r="O19">
        <f t="shared" si="2"/>
        <v>333</v>
      </c>
      <c r="P19" t="str">
        <f>IFERROR(VLOOKUP(A19,'Batsmen 19'!$A$1:$O$68,1,0),"NA")</f>
        <v>NA</v>
      </c>
    </row>
    <row r="20" spans="1:16" x14ac:dyDescent="0.25">
      <c r="A20" t="s">
        <v>145</v>
      </c>
      <c r="B20" t="s">
        <v>140</v>
      </c>
      <c r="C20">
        <v>11</v>
      </c>
      <c r="D20">
        <v>42.4</v>
      </c>
      <c r="E20">
        <v>0</v>
      </c>
      <c r="F20">
        <v>352</v>
      </c>
      <c r="G20">
        <v>12</v>
      </c>
      <c r="H20">
        <v>29.33</v>
      </c>
      <c r="I20">
        <v>44639</v>
      </c>
      <c r="J20">
        <v>8.25</v>
      </c>
      <c r="K20">
        <v>21.33</v>
      </c>
      <c r="L20">
        <v>0</v>
      </c>
      <c r="M20">
        <f t="shared" si="0"/>
        <v>300</v>
      </c>
      <c r="N20" t="str">
        <f t="shared" si="1"/>
        <v>NA</v>
      </c>
      <c r="O20">
        <f t="shared" si="2"/>
        <v>300</v>
      </c>
      <c r="P20" t="str">
        <f>IFERROR(VLOOKUP(A20,'Batsmen 19'!$A$1:$O$68,1,0),"NA")</f>
        <v>NA</v>
      </c>
    </row>
    <row r="21" spans="1:16" x14ac:dyDescent="0.25">
      <c r="A21" t="s">
        <v>184</v>
      </c>
      <c r="B21" t="s">
        <v>185</v>
      </c>
      <c r="C21">
        <v>16</v>
      </c>
      <c r="D21">
        <v>46</v>
      </c>
      <c r="E21">
        <v>0</v>
      </c>
      <c r="F21">
        <v>335</v>
      </c>
      <c r="G21">
        <v>12</v>
      </c>
      <c r="H21">
        <v>27.92</v>
      </c>
      <c r="I21">
        <v>12479</v>
      </c>
      <c r="J21">
        <v>7.28</v>
      </c>
      <c r="K21">
        <v>23</v>
      </c>
      <c r="L21">
        <v>0</v>
      </c>
      <c r="M21">
        <f t="shared" si="0"/>
        <v>300</v>
      </c>
      <c r="N21" t="str">
        <f t="shared" si="1"/>
        <v>NA</v>
      </c>
      <c r="O21">
        <f t="shared" si="2"/>
        <v>300</v>
      </c>
      <c r="P21" t="str">
        <f>IFERROR(VLOOKUP(A21,'Batsmen 19'!$A$1:$O$68,1,0),"NA")</f>
        <v>NA</v>
      </c>
    </row>
    <row r="22" spans="1:16" x14ac:dyDescent="0.25">
      <c r="A22" t="s">
        <v>188</v>
      </c>
      <c r="B22" t="s">
        <v>189</v>
      </c>
      <c r="C22">
        <v>13</v>
      </c>
      <c r="D22">
        <v>48</v>
      </c>
      <c r="E22">
        <v>0</v>
      </c>
      <c r="F22">
        <v>397</v>
      </c>
      <c r="G22">
        <v>11</v>
      </c>
      <c r="H22">
        <v>36.090000000000003</v>
      </c>
      <c r="I22">
        <v>44616</v>
      </c>
      <c r="J22">
        <v>8.27</v>
      </c>
      <c r="K22">
        <v>26.18</v>
      </c>
      <c r="L22">
        <v>0</v>
      </c>
      <c r="M22">
        <f t="shared" si="0"/>
        <v>275</v>
      </c>
      <c r="N22" t="str">
        <f t="shared" si="1"/>
        <v>NA</v>
      </c>
      <c r="O22">
        <f t="shared" si="2"/>
        <v>275</v>
      </c>
      <c r="P22" t="str">
        <f>IFERROR(VLOOKUP(A22,'Batsmen 19'!$A$1:$O$68,1,0),"NA")</f>
        <v>NA</v>
      </c>
    </row>
    <row r="23" spans="1:16" x14ac:dyDescent="0.25">
      <c r="A23" t="s">
        <v>213</v>
      </c>
      <c r="B23" t="s">
        <v>214</v>
      </c>
      <c r="C23">
        <v>11</v>
      </c>
      <c r="D23">
        <v>40</v>
      </c>
      <c r="E23">
        <v>0</v>
      </c>
      <c r="F23">
        <v>270</v>
      </c>
      <c r="G23">
        <v>11</v>
      </c>
      <c r="H23">
        <v>24.55</v>
      </c>
      <c r="I23">
        <v>44637</v>
      </c>
      <c r="J23">
        <v>6.75</v>
      </c>
      <c r="K23">
        <v>21.82</v>
      </c>
      <c r="L23">
        <v>0</v>
      </c>
      <c r="M23">
        <f t="shared" si="0"/>
        <v>275</v>
      </c>
      <c r="N23" t="str">
        <f t="shared" si="1"/>
        <v>NA</v>
      </c>
      <c r="O23">
        <f t="shared" si="2"/>
        <v>275</v>
      </c>
      <c r="P23" t="str">
        <f>IFERROR(VLOOKUP(A23,'Batsmen 19'!$A$1:$O$68,1,0),"NA")</f>
        <v>NA</v>
      </c>
    </row>
    <row r="24" spans="1:16" x14ac:dyDescent="0.25">
      <c r="A24" t="s">
        <v>193</v>
      </c>
      <c r="B24" t="s">
        <v>194</v>
      </c>
      <c r="C24">
        <v>12</v>
      </c>
      <c r="D24">
        <v>41.1</v>
      </c>
      <c r="E24">
        <v>0</v>
      </c>
      <c r="F24">
        <v>330</v>
      </c>
      <c r="G24">
        <v>11</v>
      </c>
      <c r="H24">
        <v>30</v>
      </c>
      <c r="I24">
        <v>12114</v>
      </c>
      <c r="J24">
        <v>8.02</v>
      </c>
      <c r="K24">
        <v>22.45</v>
      </c>
      <c r="L24">
        <v>0</v>
      </c>
      <c r="M24">
        <f t="shared" si="0"/>
        <v>275</v>
      </c>
      <c r="N24" t="str">
        <f t="shared" si="1"/>
        <v>NA</v>
      </c>
      <c r="O24">
        <f t="shared" si="2"/>
        <v>275</v>
      </c>
      <c r="P24" t="str">
        <f>IFERROR(VLOOKUP(A24,'Batsmen 19'!$A$1:$O$68,1,0),"NA")</f>
        <v>NA</v>
      </c>
    </row>
    <row r="25" spans="1:16" x14ac:dyDescent="0.25">
      <c r="A25" t="s">
        <v>110</v>
      </c>
      <c r="B25" t="s">
        <v>191</v>
      </c>
      <c r="C25">
        <v>14</v>
      </c>
      <c r="D25">
        <v>30.1</v>
      </c>
      <c r="E25">
        <v>0</v>
      </c>
      <c r="F25">
        <v>287</v>
      </c>
      <c r="G25">
        <v>11</v>
      </c>
      <c r="H25">
        <v>26.09</v>
      </c>
      <c r="I25">
        <v>44613</v>
      </c>
      <c r="J25">
        <v>9.51</v>
      </c>
      <c r="K25">
        <v>16.45</v>
      </c>
      <c r="L25">
        <v>0</v>
      </c>
      <c r="M25">
        <f t="shared" si="0"/>
        <v>275</v>
      </c>
      <c r="N25">
        <f t="shared" si="1"/>
        <v>-2</v>
      </c>
      <c r="O25">
        <f t="shared" si="2"/>
        <v>273</v>
      </c>
      <c r="P25" t="str">
        <f>IFERROR(VLOOKUP(A25,'Batsmen 19'!$A$1:$O$68,1,0),"NA")</f>
        <v>A D Russell</v>
      </c>
    </row>
    <row r="26" spans="1:16" x14ac:dyDescent="0.25">
      <c r="A26" t="s">
        <v>133</v>
      </c>
      <c r="B26" t="s">
        <v>134</v>
      </c>
      <c r="C26">
        <v>11</v>
      </c>
      <c r="D26">
        <v>43</v>
      </c>
      <c r="E26">
        <v>2</v>
      </c>
      <c r="F26">
        <v>291</v>
      </c>
      <c r="G26">
        <v>11</v>
      </c>
      <c r="H26">
        <v>26.45</v>
      </c>
      <c r="I26">
        <v>44635</v>
      </c>
      <c r="J26">
        <v>6.77</v>
      </c>
      <c r="K26">
        <v>23.45</v>
      </c>
      <c r="L26">
        <v>0</v>
      </c>
      <c r="M26">
        <f t="shared" si="0"/>
        <v>291</v>
      </c>
      <c r="N26" t="str">
        <f t="shared" si="1"/>
        <v>NA</v>
      </c>
      <c r="O26">
        <f t="shared" si="2"/>
        <v>291</v>
      </c>
      <c r="P26" t="str">
        <f>IFERROR(VLOOKUP(A26,'Batsmen 19'!$A$1:$O$68,1,0),"NA")</f>
        <v>NA</v>
      </c>
    </row>
    <row r="27" spans="1:16" x14ac:dyDescent="0.25">
      <c r="A27" t="s">
        <v>100</v>
      </c>
      <c r="B27" t="s">
        <v>148</v>
      </c>
      <c r="C27">
        <v>9</v>
      </c>
      <c r="D27">
        <v>33</v>
      </c>
      <c r="E27">
        <v>0</v>
      </c>
      <c r="F27">
        <v>323</v>
      </c>
      <c r="G27">
        <v>10</v>
      </c>
      <c r="H27">
        <v>32.299999999999997</v>
      </c>
      <c r="I27">
        <v>44662</v>
      </c>
      <c r="J27">
        <v>9.7899999999999991</v>
      </c>
      <c r="K27">
        <v>19.8</v>
      </c>
      <c r="L27">
        <v>1</v>
      </c>
      <c r="M27">
        <f t="shared" si="0"/>
        <v>258</v>
      </c>
      <c r="N27">
        <f t="shared" si="1"/>
        <v>-2</v>
      </c>
      <c r="O27">
        <f t="shared" si="2"/>
        <v>256</v>
      </c>
      <c r="P27" t="str">
        <f>IFERROR(VLOOKUP(A27,'Batsmen 19'!$A$1:$O$68,1,0),"NA")</f>
        <v>NA</v>
      </c>
    </row>
    <row r="28" spans="1:16" x14ac:dyDescent="0.25">
      <c r="A28" t="s">
        <v>208</v>
      </c>
      <c r="B28" t="s">
        <v>209</v>
      </c>
      <c r="C28">
        <v>11</v>
      </c>
      <c r="D28">
        <v>38.200000000000003</v>
      </c>
      <c r="E28">
        <v>0</v>
      </c>
      <c r="F28">
        <v>399</v>
      </c>
      <c r="G28">
        <v>10</v>
      </c>
      <c r="H28">
        <v>39.9</v>
      </c>
      <c r="I28">
        <v>44618</v>
      </c>
      <c r="J28">
        <v>10.41</v>
      </c>
      <c r="K28">
        <v>23</v>
      </c>
      <c r="L28">
        <v>0</v>
      </c>
      <c r="M28">
        <f t="shared" si="0"/>
        <v>250</v>
      </c>
      <c r="N28">
        <f t="shared" si="1"/>
        <v>-4</v>
      </c>
      <c r="O28">
        <f t="shared" si="2"/>
        <v>246</v>
      </c>
      <c r="P28" t="str">
        <f>IFERROR(VLOOKUP(A28,'Batsmen 19'!$A$1:$O$68,1,0),"NA")</f>
        <v>NA</v>
      </c>
    </row>
    <row r="29" spans="1:16" x14ac:dyDescent="0.25">
      <c r="A29" t="s">
        <v>108</v>
      </c>
      <c r="B29" t="s">
        <v>171</v>
      </c>
      <c r="C29">
        <v>12</v>
      </c>
      <c r="D29">
        <v>44.2</v>
      </c>
      <c r="E29">
        <v>1</v>
      </c>
      <c r="F29">
        <v>347</v>
      </c>
      <c r="G29">
        <v>10</v>
      </c>
      <c r="H29">
        <v>34.700000000000003</v>
      </c>
      <c r="I29">
        <v>44611</v>
      </c>
      <c r="J29">
        <v>7.83</v>
      </c>
      <c r="K29">
        <v>26.6</v>
      </c>
      <c r="L29">
        <v>0</v>
      </c>
      <c r="M29">
        <f t="shared" si="0"/>
        <v>258</v>
      </c>
      <c r="N29" t="str">
        <f t="shared" si="1"/>
        <v>NA</v>
      </c>
      <c r="O29">
        <f t="shared" si="2"/>
        <v>258</v>
      </c>
      <c r="P29" t="str">
        <f>IFERROR(VLOOKUP(A29,'Batsmen 19'!$A$1:$O$68,1,0),"NA")</f>
        <v>NA</v>
      </c>
    </row>
    <row r="30" spans="1:16" x14ac:dyDescent="0.25">
      <c r="A30" t="s">
        <v>195</v>
      </c>
      <c r="B30" t="s">
        <v>196</v>
      </c>
      <c r="C30">
        <v>13</v>
      </c>
      <c r="D30">
        <v>44.3</v>
      </c>
      <c r="E30">
        <v>0</v>
      </c>
      <c r="F30">
        <v>399</v>
      </c>
      <c r="G30">
        <v>10</v>
      </c>
      <c r="H30">
        <v>39.9</v>
      </c>
      <c r="I30">
        <v>44640</v>
      </c>
      <c r="J30">
        <v>8.9700000000000006</v>
      </c>
      <c r="K30">
        <v>26.7</v>
      </c>
      <c r="L30">
        <v>0</v>
      </c>
      <c r="M30">
        <f t="shared" si="0"/>
        <v>250</v>
      </c>
      <c r="N30" t="str">
        <f t="shared" si="1"/>
        <v>NA</v>
      </c>
      <c r="O30">
        <f t="shared" si="2"/>
        <v>250</v>
      </c>
      <c r="P30" t="str">
        <f>IFERROR(VLOOKUP(A30,'Batsmen 19'!$A$1:$O$68,1,0),"NA")</f>
        <v>NA</v>
      </c>
    </row>
    <row r="31" spans="1:16" x14ac:dyDescent="0.25">
      <c r="A31" t="s">
        <v>109</v>
      </c>
      <c r="B31" t="s">
        <v>167</v>
      </c>
      <c r="C31">
        <v>14</v>
      </c>
      <c r="D31">
        <v>51</v>
      </c>
      <c r="E31">
        <v>0</v>
      </c>
      <c r="F31">
        <v>364</v>
      </c>
      <c r="G31">
        <v>10</v>
      </c>
      <c r="H31">
        <v>36.4</v>
      </c>
      <c r="I31">
        <v>44614</v>
      </c>
      <c r="J31">
        <v>7.14</v>
      </c>
      <c r="K31">
        <v>30.6</v>
      </c>
      <c r="L31">
        <v>0</v>
      </c>
      <c r="M31">
        <f t="shared" si="0"/>
        <v>250</v>
      </c>
      <c r="N31" t="str">
        <f t="shared" si="1"/>
        <v>NA</v>
      </c>
      <c r="O31">
        <f t="shared" si="2"/>
        <v>250</v>
      </c>
      <c r="P31" t="str">
        <f>IFERROR(VLOOKUP(A31,'Batsmen 19'!$A$1:$O$68,1,0),"NA")</f>
        <v>NA</v>
      </c>
    </row>
    <row r="32" spans="1:16" x14ac:dyDescent="0.25">
      <c r="A32" t="s">
        <v>264</v>
      </c>
      <c r="B32" t="s">
        <v>128</v>
      </c>
      <c r="C32">
        <v>8</v>
      </c>
      <c r="D32">
        <v>27.1</v>
      </c>
      <c r="E32">
        <v>0</v>
      </c>
      <c r="F32">
        <v>237</v>
      </c>
      <c r="G32">
        <v>9</v>
      </c>
      <c r="H32">
        <v>26.33</v>
      </c>
      <c r="I32">
        <v>44637</v>
      </c>
      <c r="J32">
        <v>8.7200000000000006</v>
      </c>
      <c r="K32">
        <v>18.11</v>
      </c>
      <c r="L32">
        <v>0</v>
      </c>
      <c r="M32">
        <f t="shared" si="0"/>
        <v>225</v>
      </c>
      <c r="N32" t="str">
        <f t="shared" si="1"/>
        <v>NA</v>
      </c>
      <c r="O32">
        <f t="shared" si="2"/>
        <v>225</v>
      </c>
      <c r="P32" t="str">
        <f>IFERROR(VLOOKUP(A32,'Batsmen 19'!$A$1:$O$68,1,0),"NA")</f>
        <v>NA</v>
      </c>
    </row>
    <row r="33" spans="1:16" x14ac:dyDescent="0.25">
      <c r="A33" t="s">
        <v>162</v>
      </c>
      <c r="B33" t="s">
        <v>163</v>
      </c>
      <c r="C33">
        <v>10</v>
      </c>
      <c r="D33">
        <v>30</v>
      </c>
      <c r="E33">
        <v>0</v>
      </c>
      <c r="F33">
        <v>281</v>
      </c>
      <c r="G33">
        <v>8</v>
      </c>
      <c r="H33">
        <v>35.130000000000003</v>
      </c>
      <c r="I33">
        <v>44610</v>
      </c>
      <c r="J33">
        <v>9.3699999999999992</v>
      </c>
      <c r="K33">
        <v>22.5</v>
      </c>
      <c r="L33">
        <v>0</v>
      </c>
      <c r="M33">
        <f t="shared" si="0"/>
        <v>200</v>
      </c>
      <c r="N33">
        <f t="shared" si="1"/>
        <v>-2</v>
      </c>
      <c r="O33">
        <f t="shared" si="2"/>
        <v>198</v>
      </c>
      <c r="P33" t="str">
        <f>IFERROR(VLOOKUP(A33,'Batsmen 19'!$A$1:$O$68,1,0),"NA")</f>
        <v>NA</v>
      </c>
    </row>
    <row r="34" spans="1:16" x14ac:dyDescent="0.25">
      <c r="A34" t="s">
        <v>255</v>
      </c>
      <c r="B34" t="s">
        <v>265</v>
      </c>
      <c r="C34">
        <v>8</v>
      </c>
      <c r="D34">
        <v>29.1</v>
      </c>
      <c r="E34">
        <v>0</v>
      </c>
      <c r="F34">
        <v>194</v>
      </c>
      <c r="G34">
        <v>8</v>
      </c>
      <c r="H34">
        <v>24.25</v>
      </c>
      <c r="I34">
        <v>44662</v>
      </c>
      <c r="J34">
        <v>6.65</v>
      </c>
      <c r="K34">
        <v>21.88</v>
      </c>
      <c r="L34">
        <v>1</v>
      </c>
      <c r="M34">
        <f t="shared" si="0"/>
        <v>208</v>
      </c>
      <c r="N34" t="str">
        <f t="shared" si="1"/>
        <v>NA</v>
      </c>
      <c r="O34">
        <f t="shared" si="2"/>
        <v>208</v>
      </c>
      <c r="P34" t="str">
        <f>IFERROR(VLOOKUP(A34,'Batsmen 19'!$A$1:$O$68,1,0),"NA")</f>
        <v>Mohammad Nabi</v>
      </c>
    </row>
    <row r="35" spans="1:16" x14ac:dyDescent="0.25">
      <c r="A35" t="s">
        <v>266</v>
      </c>
      <c r="B35" t="s">
        <v>267</v>
      </c>
      <c r="C35">
        <v>11</v>
      </c>
      <c r="D35">
        <v>37.5</v>
      </c>
      <c r="E35">
        <v>0</v>
      </c>
      <c r="F35">
        <v>371</v>
      </c>
      <c r="G35">
        <v>8</v>
      </c>
      <c r="H35">
        <v>46.38</v>
      </c>
      <c r="I35">
        <v>13210</v>
      </c>
      <c r="J35">
        <v>9.81</v>
      </c>
      <c r="K35">
        <v>28.38</v>
      </c>
      <c r="L35">
        <v>0</v>
      </c>
      <c r="M35">
        <f t="shared" si="0"/>
        <v>200</v>
      </c>
      <c r="N35">
        <f t="shared" si="1"/>
        <v>-2</v>
      </c>
      <c r="O35">
        <f t="shared" si="2"/>
        <v>198</v>
      </c>
      <c r="P35" t="str">
        <f>IFERROR(VLOOKUP(A35,'Batsmen 19'!$A$1:$O$68,1,0),"NA")</f>
        <v>NA</v>
      </c>
    </row>
    <row r="36" spans="1:16" x14ac:dyDescent="0.25">
      <c r="A36" t="s">
        <v>268</v>
      </c>
      <c r="B36" t="s">
        <v>128</v>
      </c>
      <c r="C36">
        <v>6</v>
      </c>
      <c r="D36">
        <v>23</v>
      </c>
      <c r="E36">
        <v>0</v>
      </c>
      <c r="F36">
        <v>210</v>
      </c>
      <c r="G36">
        <v>8</v>
      </c>
      <c r="H36">
        <v>26.25</v>
      </c>
      <c r="I36">
        <v>14671</v>
      </c>
      <c r="J36">
        <v>9.1300000000000008</v>
      </c>
      <c r="K36">
        <v>17.25</v>
      </c>
      <c r="L36">
        <v>0</v>
      </c>
      <c r="M36">
        <f t="shared" si="0"/>
        <v>200</v>
      </c>
      <c r="N36">
        <f t="shared" si="1"/>
        <v>-2</v>
      </c>
      <c r="O36">
        <f t="shared" si="2"/>
        <v>198</v>
      </c>
      <c r="P36" t="str">
        <f>IFERROR(VLOOKUP(A36,'Batsmen 19'!$A$1:$O$68,1,0),"NA")</f>
        <v>NA</v>
      </c>
    </row>
    <row r="37" spans="1:16" x14ac:dyDescent="0.25">
      <c r="A37" t="s">
        <v>269</v>
      </c>
      <c r="B37" t="s">
        <v>177</v>
      </c>
      <c r="C37">
        <v>6</v>
      </c>
      <c r="D37">
        <v>23</v>
      </c>
      <c r="E37">
        <v>0</v>
      </c>
      <c r="F37">
        <v>222</v>
      </c>
      <c r="G37">
        <v>7</v>
      </c>
      <c r="H37">
        <v>31.71</v>
      </c>
      <c r="I37">
        <v>14277</v>
      </c>
      <c r="J37">
        <v>9.65</v>
      </c>
      <c r="K37">
        <v>19.71</v>
      </c>
      <c r="L37">
        <v>0</v>
      </c>
      <c r="M37">
        <f t="shared" si="0"/>
        <v>175</v>
      </c>
      <c r="N37">
        <f t="shared" si="1"/>
        <v>-2</v>
      </c>
      <c r="O37">
        <f t="shared" si="2"/>
        <v>173</v>
      </c>
      <c r="P37" t="str">
        <f>IFERROR(VLOOKUP(A37,'Batsmen 19'!$A$1:$O$68,1,0),"NA")</f>
        <v>NA</v>
      </c>
    </row>
    <row r="38" spans="1:16" x14ac:dyDescent="0.25">
      <c r="A38" t="s">
        <v>270</v>
      </c>
      <c r="B38" t="s">
        <v>171</v>
      </c>
      <c r="C38">
        <v>8</v>
      </c>
      <c r="D38">
        <v>27</v>
      </c>
      <c r="E38">
        <v>0</v>
      </c>
      <c r="F38">
        <v>238</v>
      </c>
      <c r="G38">
        <v>7</v>
      </c>
      <c r="H38">
        <v>34</v>
      </c>
      <c r="I38">
        <v>44617</v>
      </c>
      <c r="J38">
        <v>8.81</v>
      </c>
      <c r="K38">
        <v>23.14</v>
      </c>
      <c r="L38">
        <v>0</v>
      </c>
      <c r="M38">
        <f t="shared" si="0"/>
        <v>175</v>
      </c>
      <c r="N38" t="str">
        <f t="shared" si="1"/>
        <v>NA</v>
      </c>
      <c r="O38">
        <f t="shared" si="2"/>
        <v>175</v>
      </c>
      <c r="P38" t="str">
        <f>IFERROR(VLOOKUP(A38,'Batsmen 19'!$A$1:$O$68,1,0),"NA")</f>
        <v>NA</v>
      </c>
    </row>
    <row r="39" spans="1:16" x14ac:dyDescent="0.25">
      <c r="A39" t="s">
        <v>158</v>
      </c>
      <c r="B39" t="s">
        <v>159</v>
      </c>
      <c r="C39">
        <v>9</v>
      </c>
      <c r="D39">
        <v>28.1</v>
      </c>
      <c r="E39">
        <v>1</v>
      </c>
      <c r="F39">
        <v>269</v>
      </c>
      <c r="G39">
        <v>7</v>
      </c>
      <c r="H39">
        <v>38.43</v>
      </c>
      <c r="I39">
        <v>13912</v>
      </c>
      <c r="J39">
        <v>9.5500000000000007</v>
      </c>
      <c r="K39">
        <v>24.14</v>
      </c>
      <c r="L39">
        <v>0</v>
      </c>
      <c r="M39">
        <f t="shared" si="0"/>
        <v>183</v>
      </c>
      <c r="N39">
        <f t="shared" si="1"/>
        <v>-2</v>
      </c>
      <c r="O39">
        <f t="shared" si="2"/>
        <v>181</v>
      </c>
      <c r="P39" t="str">
        <f>IFERROR(VLOOKUP(A39,'Batsmen 19'!$A$1:$O$68,1,0),"NA")</f>
        <v>NA</v>
      </c>
    </row>
    <row r="40" spans="1:16" x14ac:dyDescent="0.25">
      <c r="A40" t="s">
        <v>271</v>
      </c>
      <c r="B40" t="s">
        <v>261</v>
      </c>
      <c r="C40">
        <v>3</v>
      </c>
      <c r="D40">
        <v>8.4</v>
      </c>
      <c r="E40">
        <v>1</v>
      </c>
      <c r="F40">
        <v>87</v>
      </c>
      <c r="G40">
        <v>6</v>
      </c>
      <c r="H40">
        <v>14.5</v>
      </c>
      <c r="I40">
        <v>44724</v>
      </c>
      <c r="J40">
        <v>10.039999999999999</v>
      </c>
      <c r="K40">
        <v>8.67</v>
      </c>
      <c r="L40">
        <v>1</v>
      </c>
      <c r="M40">
        <f t="shared" si="0"/>
        <v>166</v>
      </c>
      <c r="N40">
        <f t="shared" si="1"/>
        <v>-4</v>
      </c>
      <c r="O40">
        <f t="shared" si="2"/>
        <v>162</v>
      </c>
      <c r="P40" t="str">
        <f>IFERROR(VLOOKUP(A40,'Batsmen 19'!$A$1:$O$68,1,0),"NA")</f>
        <v>NA</v>
      </c>
    </row>
    <row r="41" spans="1:16" x14ac:dyDescent="0.25">
      <c r="A41" t="s">
        <v>249</v>
      </c>
      <c r="B41" t="s">
        <v>272</v>
      </c>
      <c r="C41">
        <v>11</v>
      </c>
      <c r="D41">
        <v>25</v>
      </c>
      <c r="E41">
        <v>0</v>
      </c>
      <c r="F41">
        <v>169</v>
      </c>
      <c r="G41">
        <v>6</v>
      </c>
      <c r="H41">
        <v>28.17</v>
      </c>
      <c r="I41">
        <v>44610</v>
      </c>
      <c r="J41">
        <v>6.76</v>
      </c>
      <c r="K41">
        <v>25</v>
      </c>
      <c r="L41">
        <v>0</v>
      </c>
      <c r="M41">
        <f t="shared" si="0"/>
        <v>150</v>
      </c>
      <c r="N41" t="str">
        <f t="shared" si="1"/>
        <v>NA</v>
      </c>
      <c r="O41">
        <f t="shared" si="2"/>
        <v>150</v>
      </c>
      <c r="P41" t="str">
        <f>IFERROR(VLOOKUP(A41,'Batsmen 19'!$A$1:$O$68,1,0),"NA")</f>
        <v>M M Ali</v>
      </c>
    </row>
    <row r="42" spans="1:16" x14ac:dyDescent="0.25">
      <c r="A42" t="s">
        <v>87</v>
      </c>
      <c r="B42" t="s">
        <v>235</v>
      </c>
      <c r="C42">
        <v>9</v>
      </c>
      <c r="D42">
        <v>16.5</v>
      </c>
      <c r="E42">
        <v>0</v>
      </c>
      <c r="F42">
        <v>189</v>
      </c>
      <c r="G42">
        <v>6</v>
      </c>
      <c r="H42">
        <v>31.5</v>
      </c>
      <c r="I42">
        <v>14277</v>
      </c>
      <c r="J42">
        <v>11.23</v>
      </c>
      <c r="K42">
        <v>16.829999999999998</v>
      </c>
      <c r="L42">
        <v>0</v>
      </c>
      <c r="M42">
        <f t="shared" si="0"/>
        <v>150</v>
      </c>
      <c r="N42">
        <f t="shared" si="1"/>
        <v>-6</v>
      </c>
      <c r="O42">
        <f t="shared" si="2"/>
        <v>144</v>
      </c>
      <c r="P42" t="str">
        <f>IFERROR(VLOOKUP(A42,'Batsmen 19'!$A$1:$O$68,1,0),"NA")</f>
        <v>B A Stokes</v>
      </c>
    </row>
    <row r="43" spans="1:16" x14ac:dyDescent="0.25">
      <c r="A43" t="s">
        <v>273</v>
      </c>
      <c r="B43" t="s">
        <v>274</v>
      </c>
      <c r="C43">
        <v>10</v>
      </c>
      <c r="D43">
        <v>35</v>
      </c>
      <c r="E43">
        <v>1</v>
      </c>
      <c r="F43">
        <v>335</v>
      </c>
      <c r="G43">
        <v>6</v>
      </c>
      <c r="H43">
        <v>55.83</v>
      </c>
      <c r="I43">
        <v>44575</v>
      </c>
      <c r="J43">
        <v>9.57</v>
      </c>
      <c r="K43">
        <v>35</v>
      </c>
      <c r="L43">
        <v>0</v>
      </c>
      <c r="M43">
        <f t="shared" si="0"/>
        <v>158</v>
      </c>
      <c r="N43">
        <f t="shared" si="1"/>
        <v>-2</v>
      </c>
      <c r="O43">
        <f t="shared" si="2"/>
        <v>156</v>
      </c>
      <c r="P43" t="str">
        <f>IFERROR(VLOOKUP(A43,'Batsmen 19'!$A$1:$O$68,1,0),"NA")</f>
        <v>NA</v>
      </c>
    </row>
    <row r="44" spans="1:16" x14ac:dyDescent="0.25">
      <c r="A44" t="s">
        <v>231</v>
      </c>
      <c r="B44" t="s">
        <v>232</v>
      </c>
      <c r="C44">
        <v>7</v>
      </c>
      <c r="D44">
        <v>27</v>
      </c>
      <c r="E44">
        <v>0</v>
      </c>
      <c r="F44">
        <v>242</v>
      </c>
      <c r="G44">
        <v>6</v>
      </c>
      <c r="H44">
        <v>40.33</v>
      </c>
      <c r="I44">
        <v>12451</v>
      </c>
      <c r="J44">
        <v>8.9600000000000009</v>
      </c>
      <c r="K44">
        <v>27</v>
      </c>
      <c r="L44">
        <v>0</v>
      </c>
      <c r="M44">
        <f t="shared" si="0"/>
        <v>150</v>
      </c>
      <c r="N44" t="str">
        <f t="shared" si="1"/>
        <v>NA</v>
      </c>
      <c r="O44">
        <f t="shared" si="2"/>
        <v>150</v>
      </c>
      <c r="P44" t="str">
        <f>IFERROR(VLOOKUP(A44,'Batsmen 19'!$A$1:$O$68,1,0),"NA")</f>
        <v>NA</v>
      </c>
    </row>
    <row r="45" spans="1:16" x14ac:dyDescent="0.25">
      <c r="A45" t="s">
        <v>125</v>
      </c>
      <c r="B45" t="s">
        <v>126</v>
      </c>
      <c r="C45">
        <v>5</v>
      </c>
      <c r="D45">
        <v>19</v>
      </c>
      <c r="E45">
        <v>0</v>
      </c>
      <c r="F45">
        <v>163</v>
      </c>
      <c r="G45">
        <v>5</v>
      </c>
      <c r="H45">
        <v>32.6</v>
      </c>
      <c r="I45">
        <v>44619</v>
      </c>
      <c r="J45">
        <v>8.58</v>
      </c>
      <c r="K45">
        <v>22.8</v>
      </c>
      <c r="L45">
        <v>0</v>
      </c>
      <c r="M45">
        <f t="shared" si="0"/>
        <v>125</v>
      </c>
      <c r="N45" t="str">
        <f t="shared" si="1"/>
        <v>NA</v>
      </c>
      <c r="O45">
        <f t="shared" si="2"/>
        <v>125</v>
      </c>
      <c r="P45" t="str">
        <f>IFERROR(VLOOKUP(A45,'Batsmen 19'!$A$1:$O$68,1,0),"NA")</f>
        <v>NA</v>
      </c>
    </row>
    <row r="46" spans="1:16" x14ac:dyDescent="0.25">
      <c r="A46" t="s">
        <v>160</v>
      </c>
      <c r="B46" t="s">
        <v>161</v>
      </c>
      <c r="C46">
        <v>10</v>
      </c>
      <c r="D46">
        <v>34</v>
      </c>
      <c r="E46">
        <v>0</v>
      </c>
      <c r="F46">
        <v>255</v>
      </c>
      <c r="G46">
        <v>5</v>
      </c>
      <c r="H46">
        <v>51</v>
      </c>
      <c r="I46">
        <v>44617</v>
      </c>
      <c r="J46">
        <v>7.5</v>
      </c>
      <c r="K46">
        <v>40.799999999999997</v>
      </c>
      <c r="L46">
        <v>0</v>
      </c>
      <c r="M46">
        <f t="shared" si="0"/>
        <v>125</v>
      </c>
      <c r="N46" t="str">
        <f t="shared" si="1"/>
        <v>NA</v>
      </c>
      <c r="O46">
        <f t="shared" si="2"/>
        <v>125</v>
      </c>
      <c r="P46" t="str">
        <f>IFERROR(VLOOKUP(A46,'Batsmen 19'!$A$1:$O$68,1,0),"NA")</f>
        <v>NA</v>
      </c>
    </row>
    <row r="47" spans="1:16" x14ac:dyDescent="0.25">
      <c r="A47" t="s">
        <v>275</v>
      </c>
      <c r="B47" t="s">
        <v>276</v>
      </c>
      <c r="C47">
        <v>5</v>
      </c>
      <c r="D47">
        <v>19</v>
      </c>
      <c r="E47">
        <v>0</v>
      </c>
      <c r="F47">
        <v>165</v>
      </c>
      <c r="G47">
        <v>5</v>
      </c>
      <c r="H47">
        <v>33</v>
      </c>
      <c r="I47">
        <v>44614</v>
      </c>
      <c r="J47">
        <v>8.68</v>
      </c>
      <c r="K47">
        <v>22.8</v>
      </c>
      <c r="L47">
        <v>0</v>
      </c>
      <c r="M47">
        <f t="shared" si="0"/>
        <v>125</v>
      </c>
      <c r="N47" t="str">
        <f t="shared" si="1"/>
        <v>NA</v>
      </c>
      <c r="O47">
        <f t="shared" si="2"/>
        <v>125</v>
      </c>
      <c r="P47" t="str">
        <f>IFERROR(VLOOKUP(A47,'Batsmen 19'!$A$1:$O$68,1,0),"NA")</f>
        <v>NA</v>
      </c>
    </row>
    <row r="48" spans="1:16" x14ac:dyDescent="0.25">
      <c r="A48" t="s">
        <v>277</v>
      </c>
      <c r="B48" t="s">
        <v>278</v>
      </c>
      <c r="C48">
        <v>4</v>
      </c>
      <c r="D48">
        <v>10</v>
      </c>
      <c r="E48">
        <v>0</v>
      </c>
      <c r="F48">
        <v>79</v>
      </c>
      <c r="G48">
        <v>5</v>
      </c>
      <c r="H48">
        <v>15.8</v>
      </c>
      <c r="I48">
        <v>44598</v>
      </c>
      <c r="J48">
        <v>7.9</v>
      </c>
      <c r="K48">
        <v>12</v>
      </c>
      <c r="L48">
        <v>0</v>
      </c>
      <c r="M48">
        <f t="shared" si="0"/>
        <v>125</v>
      </c>
      <c r="N48" t="str">
        <f t="shared" si="1"/>
        <v>NA</v>
      </c>
      <c r="O48">
        <f t="shared" si="2"/>
        <v>125</v>
      </c>
      <c r="P48" t="str">
        <f>IFERROR(VLOOKUP(A48,'Batsmen 19'!$A$1:$O$68,1,0),"NA")</f>
        <v>NA</v>
      </c>
    </row>
    <row r="49" spans="1:16" x14ac:dyDescent="0.25">
      <c r="A49" t="s">
        <v>204</v>
      </c>
      <c r="B49" t="s">
        <v>205</v>
      </c>
      <c r="C49">
        <v>11</v>
      </c>
      <c r="D49">
        <v>40.200000000000003</v>
      </c>
      <c r="E49">
        <v>0</v>
      </c>
      <c r="F49">
        <v>377</v>
      </c>
      <c r="G49">
        <v>4</v>
      </c>
      <c r="H49">
        <v>94.25</v>
      </c>
      <c r="I49">
        <v>44583</v>
      </c>
      <c r="J49">
        <v>9.35</v>
      </c>
      <c r="K49">
        <v>60.5</v>
      </c>
      <c r="L49">
        <v>0</v>
      </c>
      <c r="M49">
        <f t="shared" si="0"/>
        <v>100</v>
      </c>
      <c r="N49">
        <f t="shared" si="1"/>
        <v>-2</v>
      </c>
      <c r="O49">
        <f t="shared" si="2"/>
        <v>98</v>
      </c>
      <c r="P49" t="str">
        <f>IFERROR(VLOOKUP(A49,'Batsmen 19'!$A$1:$O$68,1,0),"NA")</f>
        <v>NA</v>
      </c>
    </row>
    <row r="50" spans="1:16" x14ac:dyDescent="0.25">
      <c r="A50" t="s">
        <v>180</v>
      </c>
      <c r="B50" t="s">
        <v>181</v>
      </c>
      <c r="C50">
        <v>3</v>
      </c>
      <c r="D50">
        <v>9</v>
      </c>
      <c r="E50">
        <v>0</v>
      </c>
      <c r="F50">
        <v>74</v>
      </c>
      <c r="G50">
        <v>4</v>
      </c>
      <c r="H50">
        <v>18.5</v>
      </c>
      <c r="I50">
        <v>44644</v>
      </c>
      <c r="J50">
        <v>8.2200000000000006</v>
      </c>
      <c r="K50">
        <v>13.5</v>
      </c>
      <c r="L50">
        <v>0</v>
      </c>
      <c r="M50">
        <f t="shared" si="0"/>
        <v>100</v>
      </c>
      <c r="N50" t="str">
        <f t="shared" si="1"/>
        <v>NA</v>
      </c>
      <c r="O50">
        <f t="shared" si="2"/>
        <v>100</v>
      </c>
      <c r="P50" t="str">
        <f>IFERROR(VLOOKUP(A50,'Batsmen 19'!$A$1:$O$68,1,0),"NA")</f>
        <v>NA</v>
      </c>
    </row>
    <row r="51" spans="1:16" x14ac:dyDescent="0.25">
      <c r="A51" t="s">
        <v>227</v>
      </c>
      <c r="B51" t="s">
        <v>228</v>
      </c>
      <c r="C51">
        <v>4</v>
      </c>
      <c r="D51">
        <v>14</v>
      </c>
      <c r="E51">
        <v>0</v>
      </c>
      <c r="F51">
        <v>94</v>
      </c>
      <c r="G51">
        <v>4</v>
      </c>
      <c r="H51">
        <v>23.5</v>
      </c>
      <c r="I51">
        <v>44605</v>
      </c>
      <c r="J51">
        <v>6.71</v>
      </c>
      <c r="K51">
        <v>21</v>
      </c>
      <c r="L51">
        <v>0</v>
      </c>
      <c r="M51">
        <f t="shared" si="0"/>
        <v>100</v>
      </c>
      <c r="N51" t="str">
        <f t="shared" si="1"/>
        <v>NA</v>
      </c>
      <c r="O51">
        <f t="shared" si="2"/>
        <v>100</v>
      </c>
      <c r="P51" t="str">
        <f>IFERROR(VLOOKUP(A51,'Batsmen 19'!$A$1:$O$68,1,0),"NA")</f>
        <v>NA</v>
      </c>
    </row>
    <row r="52" spans="1:16" x14ac:dyDescent="0.25">
      <c r="A52" t="s">
        <v>279</v>
      </c>
      <c r="B52" t="s">
        <v>152</v>
      </c>
      <c r="C52">
        <v>9</v>
      </c>
      <c r="D52">
        <v>33</v>
      </c>
      <c r="E52">
        <v>0</v>
      </c>
      <c r="F52">
        <v>286</v>
      </c>
      <c r="G52">
        <v>4</v>
      </c>
      <c r="H52">
        <v>71.5</v>
      </c>
      <c r="I52">
        <v>15008</v>
      </c>
      <c r="J52">
        <v>8.67</v>
      </c>
      <c r="K52">
        <v>49.5</v>
      </c>
      <c r="L52">
        <v>0</v>
      </c>
      <c r="M52">
        <f t="shared" si="0"/>
        <v>100</v>
      </c>
      <c r="N52" t="str">
        <f t="shared" si="1"/>
        <v>NA</v>
      </c>
      <c r="O52">
        <f t="shared" si="2"/>
        <v>100</v>
      </c>
      <c r="P52" t="str">
        <f>IFERROR(VLOOKUP(A52,'Batsmen 19'!$A$1:$O$68,1,0),"NA")</f>
        <v>NA</v>
      </c>
    </row>
    <row r="53" spans="1:16" x14ac:dyDescent="0.25">
      <c r="A53" t="s">
        <v>280</v>
      </c>
      <c r="B53" t="s">
        <v>278</v>
      </c>
      <c r="C53">
        <v>2</v>
      </c>
      <c r="D53">
        <v>7.1</v>
      </c>
      <c r="E53">
        <v>1</v>
      </c>
      <c r="F53">
        <v>67</v>
      </c>
      <c r="G53">
        <v>4</v>
      </c>
      <c r="H53">
        <v>16.75</v>
      </c>
      <c r="I53">
        <v>44646</v>
      </c>
      <c r="J53">
        <v>9.35</v>
      </c>
      <c r="K53">
        <v>10.75</v>
      </c>
      <c r="L53">
        <v>0</v>
      </c>
      <c r="M53">
        <f t="shared" si="0"/>
        <v>108</v>
      </c>
      <c r="N53">
        <f t="shared" si="1"/>
        <v>-2</v>
      </c>
      <c r="O53">
        <f t="shared" si="2"/>
        <v>106</v>
      </c>
      <c r="P53" t="str">
        <f>IFERROR(VLOOKUP(A53,'Batsmen 19'!$A$1:$O$68,1,0),"NA")</f>
        <v>NA</v>
      </c>
    </row>
    <row r="54" spans="1:16" x14ac:dyDescent="0.25">
      <c r="A54" t="s">
        <v>281</v>
      </c>
      <c r="B54" t="s">
        <v>282</v>
      </c>
      <c r="C54">
        <v>5</v>
      </c>
      <c r="D54">
        <v>12</v>
      </c>
      <c r="E54">
        <v>1</v>
      </c>
      <c r="F54">
        <v>116</v>
      </c>
      <c r="G54">
        <v>4</v>
      </c>
      <c r="H54">
        <v>29</v>
      </c>
      <c r="I54">
        <v>44612</v>
      </c>
      <c r="J54">
        <v>9.67</v>
      </c>
      <c r="K54">
        <v>18</v>
      </c>
      <c r="L54">
        <v>0</v>
      </c>
      <c r="M54">
        <f t="shared" si="0"/>
        <v>108</v>
      </c>
      <c r="N54">
        <f t="shared" si="1"/>
        <v>-2</v>
      </c>
      <c r="O54">
        <f t="shared" si="2"/>
        <v>106</v>
      </c>
      <c r="P54" t="str">
        <f>IFERROR(VLOOKUP(A54,'Batsmen 19'!$A$1:$O$68,1,0),"NA")</f>
        <v>NA</v>
      </c>
    </row>
    <row r="55" spans="1:16" x14ac:dyDescent="0.25">
      <c r="A55" t="s">
        <v>283</v>
      </c>
      <c r="B55" t="s">
        <v>284</v>
      </c>
      <c r="C55">
        <v>2</v>
      </c>
      <c r="D55">
        <v>8</v>
      </c>
      <c r="E55">
        <v>0</v>
      </c>
      <c r="F55">
        <v>69</v>
      </c>
      <c r="G55">
        <v>4</v>
      </c>
      <c r="H55">
        <v>17.25</v>
      </c>
      <c r="I55">
        <v>47150</v>
      </c>
      <c r="J55">
        <v>8.6300000000000008</v>
      </c>
      <c r="K55">
        <v>12</v>
      </c>
      <c r="L55">
        <v>0</v>
      </c>
      <c r="M55">
        <f t="shared" si="0"/>
        <v>100</v>
      </c>
      <c r="N55" t="str">
        <f t="shared" si="1"/>
        <v>NA</v>
      </c>
      <c r="O55">
        <f t="shared" si="2"/>
        <v>100</v>
      </c>
      <c r="P55" t="str">
        <f>IFERROR(VLOOKUP(A55,'Batsmen 19'!$A$1:$O$68,1,0),"NA")</f>
        <v>NA</v>
      </c>
    </row>
    <row r="56" spans="1:16" x14ac:dyDescent="0.25">
      <c r="A56" t="s">
        <v>285</v>
      </c>
      <c r="B56" t="s">
        <v>124</v>
      </c>
      <c r="C56">
        <v>5</v>
      </c>
      <c r="D56">
        <v>18</v>
      </c>
      <c r="E56">
        <v>1</v>
      </c>
      <c r="F56">
        <v>142</v>
      </c>
      <c r="G56">
        <v>3</v>
      </c>
      <c r="H56">
        <v>47.33</v>
      </c>
      <c r="I56">
        <v>14671</v>
      </c>
      <c r="J56">
        <v>7.89</v>
      </c>
      <c r="K56">
        <v>36</v>
      </c>
      <c r="L56">
        <v>0</v>
      </c>
      <c r="M56">
        <f t="shared" si="0"/>
        <v>83</v>
      </c>
      <c r="N56" t="str">
        <f t="shared" si="1"/>
        <v>NA</v>
      </c>
      <c r="O56">
        <f t="shared" si="2"/>
        <v>83</v>
      </c>
      <c r="P56" t="str">
        <f>IFERROR(VLOOKUP(A56,'Batsmen 19'!$A$1:$O$68,1,0),"NA")</f>
        <v>NA</v>
      </c>
    </row>
    <row r="57" spans="1:16" x14ac:dyDescent="0.25">
      <c r="A57" t="s">
        <v>286</v>
      </c>
      <c r="B57" t="s">
        <v>287</v>
      </c>
      <c r="C57">
        <v>7</v>
      </c>
      <c r="D57">
        <v>11.1</v>
      </c>
      <c r="E57">
        <v>0</v>
      </c>
      <c r="F57">
        <v>102</v>
      </c>
      <c r="G57">
        <v>3</v>
      </c>
      <c r="H57">
        <v>34</v>
      </c>
      <c r="I57">
        <v>44613</v>
      </c>
      <c r="J57">
        <v>9.1300000000000008</v>
      </c>
      <c r="K57">
        <v>22.33</v>
      </c>
      <c r="L57">
        <v>0</v>
      </c>
      <c r="M57">
        <f t="shared" si="0"/>
        <v>75</v>
      </c>
      <c r="N57">
        <f t="shared" si="1"/>
        <v>-2</v>
      </c>
      <c r="O57">
        <f t="shared" si="2"/>
        <v>73</v>
      </c>
      <c r="P57" t="str">
        <f>IFERROR(VLOOKUP(A57,'Batsmen 19'!$A$1:$O$68,1,0),"NA")</f>
        <v>NA</v>
      </c>
    </row>
    <row r="58" spans="1:16" x14ac:dyDescent="0.25">
      <c r="A58" t="s">
        <v>229</v>
      </c>
      <c r="B58" t="s">
        <v>230</v>
      </c>
      <c r="C58">
        <v>4</v>
      </c>
      <c r="D58">
        <v>16</v>
      </c>
      <c r="E58">
        <v>0</v>
      </c>
      <c r="F58">
        <v>152</v>
      </c>
      <c r="G58">
        <v>3</v>
      </c>
      <c r="H58">
        <v>50.67</v>
      </c>
      <c r="I58">
        <v>12086</v>
      </c>
      <c r="J58">
        <v>9.5</v>
      </c>
      <c r="K58">
        <v>32</v>
      </c>
      <c r="L58">
        <v>0</v>
      </c>
      <c r="M58">
        <f t="shared" si="0"/>
        <v>75</v>
      </c>
      <c r="N58">
        <f t="shared" si="1"/>
        <v>-2</v>
      </c>
      <c r="O58">
        <f t="shared" si="2"/>
        <v>73</v>
      </c>
      <c r="P58" t="str">
        <f>IFERROR(VLOOKUP(A58,'Batsmen 19'!$A$1:$O$68,1,0),"NA")</f>
        <v>NA</v>
      </c>
    </row>
    <row r="59" spans="1:16" x14ac:dyDescent="0.25">
      <c r="A59" t="s">
        <v>288</v>
      </c>
      <c r="B59" t="s">
        <v>289</v>
      </c>
      <c r="C59">
        <v>6</v>
      </c>
      <c r="D59">
        <v>22</v>
      </c>
      <c r="E59">
        <v>0</v>
      </c>
      <c r="F59">
        <v>233</v>
      </c>
      <c r="G59">
        <v>3</v>
      </c>
      <c r="H59">
        <v>77.67</v>
      </c>
      <c r="I59">
        <v>13516</v>
      </c>
      <c r="J59">
        <v>10.59</v>
      </c>
      <c r="K59">
        <v>44</v>
      </c>
      <c r="L59">
        <v>0</v>
      </c>
      <c r="M59">
        <f t="shared" si="0"/>
        <v>75</v>
      </c>
      <c r="N59">
        <f t="shared" si="1"/>
        <v>-4</v>
      </c>
      <c r="O59">
        <f t="shared" si="2"/>
        <v>71</v>
      </c>
      <c r="P59" t="str">
        <f>IFERROR(VLOOKUP(A59,'Batsmen 19'!$A$1:$O$68,1,0),"NA")</f>
        <v>NA</v>
      </c>
    </row>
    <row r="60" spans="1:16" x14ac:dyDescent="0.25">
      <c r="A60" t="s">
        <v>78</v>
      </c>
      <c r="B60" t="s">
        <v>290</v>
      </c>
      <c r="C60">
        <v>14</v>
      </c>
      <c r="D60">
        <v>8</v>
      </c>
      <c r="E60">
        <v>0</v>
      </c>
      <c r="F60">
        <v>72</v>
      </c>
      <c r="G60">
        <v>3</v>
      </c>
      <c r="H60">
        <v>24</v>
      </c>
      <c r="I60">
        <v>44569</v>
      </c>
      <c r="J60">
        <v>9</v>
      </c>
      <c r="K60">
        <v>16</v>
      </c>
      <c r="L60">
        <v>0</v>
      </c>
      <c r="M60">
        <f t="shared" si="0"/>
        <v>75</v>
      </c>
      <c r="N60">
        <f t="shared" si="1"/>
        <v>-2</v>
      </c>
      <c r="O60">
        <f t="shared" si="2"/>
        <v>73</v>
      </c>
      <c r="P60" t="str">
        <f>IFERROR(VLOOKUP(A60,'Batsmen 19'!$A$1:$O$68,1,0),"NA")</f>
        <v>N Rana</v>
      </c>
    </row>
    <row r="61" spans="1:16" x14ac:dyDescent="0.25">
      <c r="A61" t="s">
        <v>291</v>
      </c>
      <c r="B61" t="s">
        <v>140</v>
      </c>
      <c r="C61">
        <v>5</v>
      </c>
      <c r="D61">
        <v>19</v>
      </c>
      <c r="E61">
        <v>0</v>
      </c>
      <c r="F61">
        <v>191</v>
      </c>
      <c r="G61">
        <v>3</v>
      </c>
      <c r="H61">
        <v>63.67</v>
      </c>
      <c r="I61">
        <v>11355</v>
      </c>
      <c r="J61">
        <v>10.050000000000001</v>
      </c>
      <c r="K61">
        <v>38</v>
      </c>
      <c r="L61">
        <v>0</v>
      </c>
      <c r="M61">
        <f t="shared" si="0"/>
        <v>75</v>
      </c>
      <c r="N61">
        <f t="shared" si="1"/>
        <v>-4</v>
      </c>
      <c r="O61">
        <f t="shared" si="2"/>
        <v>71</v>
      </c>
      <c r="P61" t="str">
        <f>IFERROR(VLOOKUP(A61,'Batsmen 19'!$A$1:$O$68,1,0),"NA")</f>
        <v>NA</v>
      </c>
    </row>
    <row r="62" spans="1:16" x14ac:dyDescent="0.25">
      <c r="A62" t="s">
        <v>176</v>
      </c>
      <c r="B62" t="s">
        <v>177</v>
      </c>
      <c r="C62">
        <v>3</v>
      </c>
      <c r="D62">
        <v>10</v>
      </c>
      <c r="E62">
        <v>0</v>
      </c>
      <c r="F62">
        <v>109</v>
      </c>
      <c r="G62">
        <v>3</v>
      </c>
      <c r="H62">
        <v>36.33</v>
      </c>
      <c r="I62">
        <v>15738</v>
      </c>
      <c r="J62">
        <v>10.9</v>
      </c>
      <c r="K62">
        <v>20</v>
      </c>
      <c r="L62">
        <v>0</v>
      </c>
      <c r="M62">
        <f t="shared" si="0"/>
        <v>75</v>
      </c>
      <c r="N62">
        <f t="shared" si="1"/>
        <v>-4</v>
      </c>
      <c r="O62">
        <f t="shared" si="2"/>
        <v>71</v>
      </c>
      <c r="P62" t="str">
        <f>IFERROR(VLOOKUP(A62,'Batsmen 19'!$A$1:$O$68,1,0),"NA")</f>
        <v>NA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U23"/>
  <sheetViews>
    <sheetView workbookViewId="0">
      <selection activeCell="P31" sqref="P31"/>
    </sheetView>
  </sheetViews>
  <sheetFormatPr defaultRowHeight="15" x14ac:dyDescent="0.25"/>
  <cols>
    <col min="1" max="1" width="16.28515625" bestFit="1" customWidth="1"/>
    <col min="2" max="2" width="17.85546875" bestFit="1" customWidth="1"/>
    <col min="15" max="15" width="16.5703125" bestFit="1" customWidth="1"/>
    <col min="16" max="16" width="19.5703125" bestFit="1" customWidth="1"/>
    <col min="17" max="17" width="5.7109375" customWidth="1"/>
    <col min="18" max="18" width="19.5703125" bestFit="1" customWidth="1"/>
    <col min="19" max="20" width="16.28515625" bestFit="1" customWidth="1"/>
    <col min="21" max="21" width="14.85546875" bestFit="1" customWidth="1"/>
  </cols>
  <sheetData>
    <row r="4" spans="1:21" ht="15.75" thickBot="1" x14ac:dyDescent="0.3"/>
    <row r="5" spans="1:21" ht="19.5" thickBot="1" x14ac:dyDescent="0.35">
      <c r="A5" s="1" t="s">
        <v>35</v>
      </c>
      <c r="B5" s="1" t="s">
        <v>36</v>
      </c>
      <c r="C5" s="1" t="s">
        <v>37</v>
      </c>
      <c r="D5" s="1" t="s">
        <v>38</v>
      </c>
      <c r="E5" s="1" t="s">
        <v>39</v>
      </c>
      <c r="F5" s="1" t="s">
        <v>40</v>
      </c>
      <c r="G5" s="1" t="s">
        <v>41</v>
      </c>
      <c r="H5" s="1" t="s">
        <v>42</v>
      </c>
      <c r="I5" s="1" t="s">
        <v>43</v>
      </c>
      <c r="J5" s="1" t="s">
        <v>44</v>
      </c>
      <c r="K5" s="1" t="s">
        <v>45</v>
      </c>
      <c r="L5" s="1" t="s">
        <v>46</v>
      </c>
      <c r="M5" s="1" t="s">
        <v>47</v>
      </c>
      <c r="N5" s="1" t="s">
        <v>111</v>
      </c>
      <c r="O5" s="1" t="s">
        <v>239</v>
      </c>
      <c r="P5" s="1" t="s">
        <v>112</v>
      </c>
      <c r="Q5" s="1"/>
      <c r="R5" s="43" t="s">
        <v>113</v>
      </c>
      <c r="S5" s="44" t="s">
        <v>35</v>
      </c>
      <c r="T5" s="44" t="s">
        <v>36</v>
      </c>
      <c r="U5" s="45" t="s">
        <v>293</v>
      </c>
    </row>
    <row r="6" spans="1:21" x14ac:dyDescent="0.25">
      <c r="A6" t="s">
        <v>110</v>
      </c>
      <c r="B6" t="s">
        <v>68</v>
      </c>
      <c r="C6">
        <v>14</v>
      </c>
      <c r="D6">
        <v>13</v>
      </c>
      <c r="E6">
        <v>4</v>
      </c>
      <c r="F6">
        <v>510</v>
      </c>
      <c r="G6">
        <v>80</v>
      </c>
      <c r="H6">
        <v>0</v>
      </c>
      <c r="I6">
        <v>4</v>
      </c>
      <c r="J6">
        <v>56.67</v>
      </c>
      <c r="K6">
        <v>204.82</v>
      </c>
      <c r="L6">
        <v>31</v>
      </c>
      <c r="M6">
        <v>52</v>
      </c>
      <c r="N6">
        <f t="shared" ref="N6:N11" si="0">((F6*1)+(H6*16) +(I6*8)+(L6*1)+(M6*2))</f>
        <v>677</v>
      </c>
      <c r="O6" t="str">
        <f t="shared" ref="O6:O11" si="1">IF(AND(K6&gt;=60,K6&lt;=70),-1,IF(AND(K6&gt;=50,K6&lt;=59.9),-4,IF(K6&lt;50,-6,"NA")))</f>
        <v>NA</v>
      </c>
      <c r="P6">
        <f t="shared" ref="P6:P11" si="2">IFERROR(N6+O6,N6)</f>
        <v>677</v>
      </c>
      <c r="R6" s="40" t="str">
        <f>IFERROR(VLOOKUP(A6,'Bowlers 19'!$A$1:$O$51,1,0),"NA")</f>
        <v>A D Russell</v>
      </c>
      <c r="S6" s="41" t="s">
        <v>110</v>
      </c>
      <c r="T6" s="41" t="s">
        <v>68</v>
      </c>
      <c r="U6" s="42">
        <f>P6+O19</f>
        <v>950</v>
      </c>
    </row>
    <row r="7" spans="1:21" x14ac:dyDescent="0.25">
      <c r="A7" t="s">
        <v>89</v>
      </c>
      <c r="B7" t="s">
        <v>58</v>
      </c>
      <c r="C7">
        <v>16</v>
      </c>
      <c r="D7">
        <v>15</v>
      </c>
      <c r="E7">
        <v>6</v>
      </c>
      <c r="F7">
        <v>402</v>
      </c>
      <c r="G7">
        <v>91</v>
      </c>
      <c r="H7">
        <v>0</v>
      </c>
      <c r="I7">
        <v>1</v>
      </c>
      <c r="J7">
        <v>44.67</v>
      </c>
      <c r="K7">
        <v>191.43</v>
      </c>
      <c r="L7">
        <v>28</v>
      </c>
      <c r="M7">
        <v>29</v>
      </c>
      <c r="N7">
        <f t="shared" si="0"/>
        <v>496</v>
      </c>
      <c r="O7" t="str">
        <f t="shared" si="1"/>
        <v>NA</v>
      </c>
      <c r="P7">
        <f t="shared" si="2"/>
        <v>496</v>
      </c>
      <c r="R7" s="35" t="str">
        <f>IFERROR(VLOOKUP(A7,'Bowlers 19'!$A$1:$O$51,1,0),"NA")</f>
        <v>H H Pandya</v>
      </c>
      <c r="S7" s="32" t="s">
        <v>89</v>
      </c>
      <c r="T7" s="32" t="s">
        <v>58</v>
      </c>
      <c r="U7" s="36">
        <f>P7+O18</f>
        <v>844</v>
      </c>
    </row>
    <row r="8" spans="1:21" x14ac:dyDescent="0.25">
      <c r="A8" t="s">
        <v>93</v>
      </c>
      <c r="B8" t="s">
        <v>66</v>
      </c>
      <c r="C8">
        <v>16</v>
      </c>
      <c r="D8">
        <v>9</v>
      </c>
      <c r="E8">
        <v>6</v>
      </c>
      <c r="F8">
        <v>106</v>
      </c>
      <c r="G8">
        <v>31</v>
      </c>
      <c r="H8">
        <v>0</v>
      </c>
      <c r="I8">
        <v>0</v>
      </c>
      <c r="J8">
        <v>35.33</v>
      </c>
      <c r="K8">
        <v>120.45</v>
      </c>
      <c r="L8">
        <v>7</v>
      </c>
      <c r="M8">
        <v>4</v>
      </c>
      <c r="N8">
        <f t="shared" si="0"/>
        <v>121</v>
      </c>
      <c r="O8" t="str">
        <f t="shared" si="1"/>
        <v>NA</v>
      </c>
      <c r="P8">
        <f t="shared" si="2"/>
        <v>121</v>
      </c>
      <c r="R8" s="35" t="str">
        <f>IFERROR(VLOOKUP(A8,'Bowlers 19'!$A$1:$O$51,1,0),"NA")</f>
        <v>R A Jadeja</v>
      </c>
      <c r="S8" s="32" t="s">
        <v>93</v>
      </c>
      <c r="T8" s="32" t="s">
        <v>66</v>
      </c>
      <c r="U8" s="36">
        <f>P8+O17</f>
        <v>504</v>
      </c>
    </row>
    <row r="9" spans="1:21" x14ac:dyDescent="0.25">
      <c r="A9" t="s">
        <v>249</v>
      </c>
      <c r="B9" t="s">
        <v>62</v>
      </c>
      <c r="C9">
        <v>11</v>
      </c>
      <c r="D9">
        <v>10</v>
      </c>
      <c r="E9">
        <v>2</v>
      </c>
      <c r="F9">
        <v>220</v>
      </c>
      <c r="G9">
        <v>66</v>
      </c>
      <c r="H9">
        <v>0</v>
      </c>
      <c r="I9">
        <v>2</v>
      </c>
      <c r="J9">
        <v>27.5</v>
      </c>
      <c r="K9">
        <v>165.41</v>
      </c>
      <c r="L9">
        <v>16</v>
      </c>
      <c r="M9">
        <v>17</v>
      </c>
      <c r="N9">
        <f t="shared" si="0"/>
        <v>286</v>
      </c>
      <c r="O9" t="str">
        <f t="shared" si="1"/>
        <v>NA</v>
      </c>
      <c r="P9">
        <f t="shared" si="2"/>
        <v>286</v>
      </c>
      <c r="R9" s="35" t="str">
        <f>IFERROR(VLOOKUP(A9,'Bowlers 19'!$A$1:$O$51,1,0),"NA")</f>
        <v>M M Ali</v>
      </c>
      <c r="S9" s="32" t="s">
        <v>249</v>
      </c>
      <c r="T9" s="32" t="s">
        <v>62</v>
      </c>
      <c r="U9" s="36">
        <f>P9+O21</f>
        <v>436</v>
      </c>
    </row>
    <row r="10" spans="1:21" x14ac:dyDescent="0.25">
      <c r="A10" t="s">
        <v>87</v>
      </c>
      <c r="B10" t="s">
        <v>74</v>
      </c>
      <c r="C10">
        <v>9</v>
      </c>
      <c r="D10">
        <v>9</v>
      </c>
      <c r="E10">
        <v>3</v>
      </c>
      <c r="F10">
        <v>123</v>
      </c>
      <c r="G10">
        <v>46</v>
      </c>
      <c r="H10">
        <v>0</v>
      </c>
      <c r="I10">
        <v>0</v>
      </c>
      <c r="J10">
        <v>20.5</v>
      </c>
      <c r="K10">
        <v>124.24</v>
      </c>
      <c r="L10">
        <v>8</v>
      </c>
      <c r="M10">
        <v>4</v>
      </c>
      <c r="N10">
        <f t="shared" si="0"/>
        <v>139</v>
      </c>
      <c r="O10" t="str">
        <f t="shared" si="1"/>
        <v>NA</v>
      </c>
      <c r="P10">
        <f t="shared" si="2"/>
        <v>139</v>
      </c>
      <c r="R10" s="35" t="str">
        <f>IFERROR(VLOOKUP(A10,'Bowlers 19'!$A$1:$O$51,1,0),"NA")</f>
        <v>B A Stokes</v>
      </c>
      <c r="S10" s="32" t="s">
        <v>87</v>
      </c>
      <c r="T10" s="32" t="s">
        <v>74</v>
      </c>
      <c r="U10" s="36">
        <f>+P10+O22</f>
        <v>283</v>
      </c>
    </row>
    <row r="11" spans="1:21" ht="15.75" thickBot="1" x14ac:dyDescent="0.3">
      <c r="A11" t="s">
        <v>255</v>
      </c>
      <c r="B11" t="s">
        <v>55</v>
      </c>
      <c r="C11">
        <v>8</v>
      </c>
      <c r="D11">
        <v>7</v>
      </c>
      <c r="E11">
        <v>1</v>
      </c>
      <c r="F11">
        <v>115</v>
      </c>
      <c r="G11">
        <v>31</v>
      </c>
      <c r="H11">
        <v>0</v>
      </c>
      <c r="I11">
        <v>0</v>
      </c>
      <c r="J11">
        <v>19.170000000000002</v>
      </c>
      <c r="K11">
        <v>151.32</v>
      </c>
      <c r="L11">
        <v>8</v>
      </c>
      <c r="M11">
        <v>7</v>
      </c>
      <c r="N11">
        <f t="shared" si="0"/>
        <v>137</v>
      </c>
      <c r="O11" t="str">
        <f t="shared" si="1"/>
        <v>NA</v>
      </c>
      <c r="P11">
        <f t="shared" si="2"/>
        <v>137</v>
      </c>
      <c r="R11" s="37" t="str">
        <f>IFERROR(VLOOKUP(A11,'Bowlers 19'!$A$1:$O$51,1,0),"NA")</f>
        <v>Mohammad Nabi</v>
      </c>
      <c r="S11" s="38" t="s">
        <v>255</v>
      </c>
      <c r="T11" s="38" t="s">
        <v>55</v>
      </c>
      <c r="U11" s="39">
        <f>P11+O20</f>
        <v>345</v>
      </c>
    </row>
    <row r="16" spans="1:21" ht="18.75" x14ac:dyDescent="0.3">
      <c r="A16" s="1" t="s">
        <v>35</v>
      </c>
      <c r="B16" s="1" t="s">
        <v>36</v>
      </c>
      <c r="C16" s="1" t="s">
        <v>114</v>
      </c>
      <c r="D16" s="1" t="s">
        <v>115</v>
      </c>
      <c r="E16" s="1" t="s">
        <v>116</v>
      </c>
      <c r="F16" s="1" t="s">
        <v>40</v>
      </c>
      <c r="G16" s="1" t="s">
        <v>117</v>
      </c>
      <c r="H16" s="1" t="s">
        <v>44</v>
      </c>
      <c r="I16" s="1" t="s">
        <v>118</v>
      </c>
      <c r="J16" s="1" t="s">
        <v>119</v>
      </c>
      <c r="K16" s="1" t="s">
        <v>45</v>
      </c>
      <c r="L16" s="1" t="s">
        <v>120</v>
      </c>
      <c r="M16" s="1" t="s">
        <v>238</v>
      </c>
      <c r="N16" s="1" t="s">
        <v>292</v>
      </c>
      <c r="O16" s="1" t="s">
        <v>112</v>
      </c>
      <c r="P16" s="1" t="s">
        <v>113</v>
      </c>
      <c r="Q16" s="1"/>
    </row>
    <row r="17" spans="1:16" x14ac:dyDescent="0.25">
      <c r="A17" t="s">
        <v>93</v>
      </c>
      <c r="B17" t="s">
        <v>192</v>
      </c>
      <c r="C17">
        <v>16</v>
      </c>
      <c r="D17">
        <v>54</v>
      </c>
      <c r="E17">
        <v>1</v>
      </c>
      <c r="F17">
        <v>343</v>
      </c>
      <c r="G17">
        <v>15</v>
      </c>
      <c r="H17">
        <v>22.87</v>
      </c>
      <c r="I17">
        <v>44629</v>
      </c>
      <c r="J17">
        <v>6.35</v>
      </c>
      <c r="K17">
        <v>21.6</v>
      </c>
      <c r="L17">
        <v>0</v>
      </c>
      <c r="M17">
        <f t="shared" ref="M17:M23" si="3">((G17*25)+(L17*8)+(E17*8))</f>
        <v>383</v>
      </c>
      <c r="N17" t="str">
        <f t="shared" ref="N17:N23" si="4">IF(J17&lt;4,6,IF(AND(J17&gt;=4,J17&lt;=4.99),4,IF(AND(J17&gt;=5,J17&lt;=6),2,IF(AND(J17&gt;=9,J17&lt;=10),-2,IF(AND(J17&gt;=10.01,J17&lt;=11),-4,IF(J17&gt;11,-6,"NA"))))))</f>
        <v>NA</v>
      </c>
      <c r="O17">
        <f t="shared" ref="O17:O23" si="5">IFERROR(M17+N17,M17)</f>
        <v>383</v>
      </c>
      <c r="P17" t="str">
        <f>IFERROR(VLOOKUP(A17,'Batsmen 19'!$A$1:$O$68,1,0),"NA")</f>
        <v>R A Jadeja</v>
      </c>
    </row>
    <row r="18" spans="1:16" x14ac:dyDescent="0.25">
      <c r="A18" t="s">
        <v>89</v>
      </c>
      <c r="B18" t="s">
        <v>261</v>
      </c>
      <c r="C18">
        <v>16</v>
      </c>
      <c r="D18">
        <v>42.3</v>
      </c>
      <c r="E18">
        <v>0</v>
      </c>
      <c r="F18">
        <v>390</v>
      </c>
      <c r="G18">
        <v>14</v>
      </c>
      <c r="H18">
        <v>27.86</v>
      </c>
      <c r="I18">
        <v>44640</v>
      </c>
      <c r="J18">
        <v>9.18</v>
      </c>
      <c r="K18">
        <v>18.21</v>
      </c>
      <c r="L18">
        <v>0</v>
      </c>
      <c r="M18">
        <f t="shared" si="3"/>
        <v>350</v>
      </c>
      <c r="N18">
        <f t="shared" si="4"/>
        <v>-2</v>
      </c>
      <c r="O18">
        <f t="shared" si="5"/>
        <v>348</v>
      </c>
      <c r="P18" t="str">
        <f>IFERROR(VLOOKUP(A18,'Batsmen 19'!$A$1:$O$68,1,0),"NA")</f>
        <v>H H Pandya</v>
      </c>
    </row>
    <row r="19" spans="1:16" x14ac:dyDescent="0.25">
      <c r="A19" t="s">
        <v>110</v>
      </c>
      <c r="B19" t="s">
        <v>191</v>
      </c>
      <c r="C19">
        <v>14</v>
      </c>
      <c r="D19">
        <v>30.1</v>
      </c>
      <c r="E19">
        <v>0</v>
      </c>
      <c r="F19">
        <v>287</v>
      </c>
      <c r="G19">
        <v>11</v>
      </c>
      <c r="H19">
        <v>26.09</v>
      </c>
      <c r="I19">
        <v>44613</v>
      </c>
      <c r="J19">
        <v>9.51</v>
      </c>
      <c r="K19">
        <v>16.45</v>
      </c>
      <c r="L19">
        <v>0</v>
      </c>
      <c r="M19">
        <f t="shared" si="3"/>
        <v>275</v>
      </c>
      <c r="N19">
        <f t="shared" si="4"/>
        <v>-2</v>
      </c>
      <c r="O19">
        <f t="shared" si="5"/>
        <v>273</v>
      </c>
      <c r="P19" t="str">
        <f>IFERROR(VLOOKUP(A19,'Batsmen 19'!$A$1:$O$68,1,0),"NA")</f>
        <v>A D Russell</v>
      </c>
    </row>
    <row r="20" spans="1:16" x14ac:dyDescent="0.25">
      <c r="A20" t="s">
        <v>255</v>
      </c>
      <c r="B20" t="s">
        <v>265</v>
      </c>
      <c r="C20">
        <v>8</v>
      </c>
      <c r="D20">
        <v>29.1</v>
      </c>
      <c r="E20">
        <v>0</v>
      </c>
      <c r="F20">
        <v>194</v>
      </c>
      <c r="G20">
        <v>8</v>
      </c>
      <c r="H20">
        <v>24.25</v>
      </c>
      <c r="I20">
        <v>44662</v>
      </c>
      <c r="J20">
        <v>6.65</v>
      </c>
      <c r="K20">
        <v>21.88</v>
      </c>
      <c r="L20">
        <v>1</v>
      </c>
      <c r="M20">
        <f t="shared" si="3"/>
        <v>208</v>
      </c>
      <c r="N20" t="str">
        <f t="shared" si="4"/>
        <v>NA</v>
      </c>
      <c r="O20">
        <f t="shared" si="5"/>
        <v>208</v>
      </c>
      <c r="P20" t="str">
        <f>IFERROR(VLOOKUP(A20,'Batsmen 19'!$A$1:$O$68,1,0),"NA")</f>
        <v>Mohammad Nabi</v>
      </c>
    </row>
    <row r="21" spans="1:16" x14ac:dyDescent="0.25">
      <c r="A21" t="s">
        <v>249</v>
      </c>
      <c r="B21" t="s">
        <v>272</v>
      </c>
      <c r="C21">
        <v>11</v>
      </c>
      <c r="D21">
        <v>25</v>
      </c>
      <c r="E21">
        <v>0</v>
      </c>
      <c r="F21">
        <v>169</v>
      </c>
      <c r="G21">
        <v>6</v>
      </c>
      <c r="H21">
        <v>28.17</v>
      </c>
      <c r="I21">
        <v>44610</v>
      </c>
      <c r="J21">
        <v>6.76</v>
      </c>
      <c r="K21">
        <v>25</v>
      </c>
      <c r="L21">
        <v>0</v>
      </c>
      <c r="M21">
        <f t="shared" si="3"/>
        <v>150</v>
      </c>
      <c r="N21" t="str">
        <f t="shared" si="4"/>
        <v>NA</v>
      </c>
      <c r="O21">
        <f t="shared" si="5"/>
        <v>150</v>
      </c>
      <c r="P21" t="str">
        <f>IFERROR(VLOOKUP(A21,'Batsmen 19'!$A$1:$O$68,1,0),"NA")</f>
        <v>M M Ali</v>
      </c>
    </row>
    <row r="22" spans="1:16" x14ac:dyDescent="0.25">
      <c r="A22" t="s">
        <v>87</v>
      </c>
      <c r="B22" t="s">
        <v>235</v>
      </c>
      <c r="C22">
        <v>9</v>
      </c>
      <c r="D22">
        <v>16.5</v>
      </c>
      <c r="E22">
        <v>0</v>
      </c>
      <c r="F22">
        <v>189</v>
      </c>
      <c r="G22">
        <v>6</v>
      </c>
      <c r="H22">
        <v>31.5</v>
      </c>
      <c r="I22">
        <v>14277</v>
      </c>
      <c r="J22">
        <v>11.23</v>
      </c>
      <c r="K22">
        <v>16.829999999999998</v>
      </c>
      <c r="L22">
        <v>0</v>
      </c>
      <c r="M22">
        <f t="shared" si="3"/>
        <v>150</v>
      </c>
      <c r="N22">
        <f t="shared" si="4"/>
        <v>-6</v>
      </c>
      <c r="O22">
        <f t="shared" si="5"/>
        <v>144</v>
      </c>
      <c r="P22" t="str">
        <f>IFERROR(VLOOKUP(A22,'Batsmen 19'!$A$1:$O$68,1,0),"NA")</f>
        <v>B A Stokes</v>
      </c>
    </row>
    <row r="23" spans="1:16" x14ac:dyDescent="0.25">
      <c r="A23" t="s">
        <v>78</v>
      </c>
      <c r="B23" t="s">
        <v>290</v>
      </c>
      <c r="C23">
        <v>14</v>
      </c>
      <c r="D23">
        <v>8</v>
      </c>
      <c r="E23">
        <v>0</v>
      </c>
      <c r="F23">
        <v>72</v>
      </c>
      <c r="G23">
        <v>3</v>
      </c>
      <c r="H23">
        <v>24</v>
      </c>
      <c r="I23">
        <v>44569</v>
      </c>
      <c r="J23">
        <v>9</v>
      </c>
      <c r="K23">
        <v>16</v>
      </c>
      <c r="L23">
        <v>0</v>
      </c>
      <c r="M23">
        <f t="shared" si="3"/>
        <v>75</v>
      </c>
      <c r="N23">
        <f t="shared" si="4"/>
        <v>-2</v>
      </c>
      <c r="O23">
        <f t="shared" si="5"/>
        <v>73</v>
      </c>
      <c r="P23" t="str">
        <f>IFERROR(VLOOKUP(A23,'Batsmen 19'!$A$1:$O$68,1,0),"NA")</f>
        <v>N Rana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H51"/>
  <sheetViews>
    <sheetView topLeftCell="B1" zoomScale="75" zoomScaleNormal="75" workbookViewId="0">
      <selection activeCell="AC35" sqref="AC35:AD35"/>
    </sheetView>
  </sheetViews>
  <sheetFormatPr defaultRowHeight="15" x14ac:dyDescent="0.25"/>
  <cols>
    <col min="2" max="2" width="17.42578125" customWidth="1"/>
    <col min="3" max="3" width="10.5703125" bestFit="1" customWidth="1"/>
    <col min="4" max="4" width="13.42578125" bestFit="1" customWidth="1"/>
    <col min="5" max="5" width="10.5703125" bestFit="1" customWidth="1"/>
    <col min="6" max="6" width="8.5703125" bestFit="1" customWidth="1"/>
    <col min="7" max="7" width="6.85546875" bestFit="1" customWidth="1"/>
    <col min="8" max="8" width="7.42578125" customWidth="1"/>
    <col min="9" max="9" width="6.7109375" bestFit="1" customWidth="1"/>
    <col min="10" max="10" width="5.28515625" bestFit="1" customWidth="1"/>
    <col min="11" max="11" width="11.140625" bestFit="1" customWidth="1"/>
    <col min="12" max="12" width="9" bestFit="1" customWidth="1"/>
    <col min="13" max="14" width="3.85546875" bestFit="1" customWidth="1"/>
    <col min="15" max="15" width="9.7109375" bestFit="1" customWidth="1"/>
    <col min="16" max="16" width="16.5703125" bestFit="1" customWidth="1"/>
    <col min="18" max="18" width="19.5703125" bestFit="1" customWidth="1"/>
    <col min="19" max="19" width="4.28515625" customWidth="1"/>
    <col min="20" max="20" width="11.140625" bestFit="1" customWidth="1"/>
    <col min="21" max="21" width="9" bestFit="1" customWidth="1"/>
    <col min="22" max="22" width="5" customWidth="1"/>
    <col min="23" max="23" width="18.85546875" bestFit="1" customWidth="1"/>
    <col min="24" max="24" width="11.42578125" bestFit="1" customWidth="1"/>
    <col min="25" max="25" width="17.85546875" bestFit="1" customWidth="1"/>
    <col min="29" max="29" width="12.7109375" bestFit="1" customWidth="1"/>
    <col min="30" max="30" width="13.5703125" bestFit="1" customWidth="1"/>
    <col min="31" max="31" width="17.85546875" bestFit="1" customWidth="1"/>
    <col min="32" max="32" width="9.140625" style="4"/>
    <col min="33" max="33" width="11.140625" bestFit="1" customWidth="1"/>
    <col min="34" max="34" width="9" bestFit="1" customWidth="1"/>
  </cols>
  <sheetData>
    <row r="1" spans="2:34" ht="18.75" x14ac:dyDescent="0.4">
      <c r="B1" s="46" t="s">
        <v>306</v>
      </c>
      <c r="C1" s="46"/>
    </row>
    <row r="3" spans="2:34" ht="18.75" x14ac:dyDescent="0.3">
      <c r="B3" s="74" t="s">
        <v>307</v>
      </c>
      <c r="C3" s="74"/>
      <c r="D3" s="74"/>
      <c r="E3" s="74"/>
      <c r="F3" s="75"/>
      <c r="G3" s="4"/>
      <c r="AC3" s="65" t="s">
        <v>313</v>
      </c>
      <c r="AD3" s="65"/>
      <c r="AE3" s="65"/>
      <c r="AF3" s="65"/>
      <c r="AG3" s="65"/>
    </row>
    <row r="4" spans="2:34" ht="18.75" x14ac:dyDescent="0.3">
      <c r="B4" s="1" t="s">
        <v>295</v>
      </c>
    </row>
    <row r="6" spans="2:34" ht="18.75" x14ac:dyDescent="0.3">
      <c r="B6" s="47">
        <v>2020</v>
      </c>
      <c r="W6" s="48" t="s">
        <v>299</v>
      </c>
      <c r="X6" s="48"/>
      <c r="AC6" s="66" t="s">
        <v>314</v>
      </c>
      <c r="AD6" s="66"/>
    </row>
    <row r="7" spans="2:34" ht="18.75" x14ac:dyDescent="0.3">
      <c r="B7" s="31" t="s">
        <v>35</v>
      </c>
      <c r="C7" s="31" t="s">
        <v>36</v>
      </c>
      <c r="D7" s="31" t="s">
        <v>37</v>
      </c>
      <c r="E7" s="31" t="s">
        <v>38</v>
      </c>
      <c r="F7" s="31" t="s">
        <v>39</v>
      </c>
      <c r="G7" s="31" t="s">
        <v>40</v>
      </c>
      <c r="H7" s="31" t="s">
        <v>41</v>
      </c>
      <c r="I7" s="31" t="s">
        <v>42</v>
      </c>
      <c r="J7" s="31" t="s">
        <v>43</v>
      </c>
      <c r="K7" s="31" t="s">
        <v>44</v>
      </c>
      <c r="L7" s="31" t="s">
        <v>45</v>
      </c>
      <c r="M7" s="31" t="s">
        <v>46</v>
      </c>
      <c r="N7" s="31" t="s">
        <v>47</v>
      </c>
      <c r="O7" s="31" t="s">
        <v>111</v>
      </c>
      <c r="P7" s="31" t="s">
        <v>239</v>
      </c>
      <c r="Q7" s="31" t="s">
        <v>112</v>
      </c>
      <c r="R7" s="31" t="s">
        <v>113</v>
      </c>
      <c r="S7" s="1"/>
      <c r="T7" s="31" t="s">
        <v>310</v>
      </c>
      <c r="U7" s="31" t="s">
        <v>311</v>
      </c>
      <c r="W7" s="31" t="s">
        <v>35</v>
      </c>
      <c r="X7" s="31" t="s">
        <v>36</v>
      </c>
      <c r="Y7" s="31" t="s">
        <v>294</v>
      </c>
      <c r="AC7" s="31" t="s">
        <v>35</v>
      </c>
      <c r="AD7" s="31" t="s">
        <v>36</v>
      </c>
      <c r="AE7" s="31" t="s">
        <v>294</v>
      </c>
      <c r="AG7" s="31" t="s">
        <v>310</v>
      </c>
      <c r="AH7" s="31" t="s">
        <v>311</v>
      </c>
    </row>
    <row r="8" spans="2:34" x14ac:dyDescent="0.25">
      <c r="B8" s="32" t="s">
        <v>48</v>
      </c>
      <c r="C8" s="32" t="s">
        <v>49</v>
      </c>
      <c r="D8" s="32">
        <v>14</v>
      </c>
      <c r="E8" s="32">
        <v>14</v>
      </c>
      <c r="F8" s="32">
        <v>2</v>
      </c>
      <c r="G8" s="32">
        <v>670</v>
      </c>
      <c r="H8" s="51" t="s">
        <v>50</v>
      </c>
      <c r="I8" s="32">
        <v>1</v>
      </c>
      <c r="J8" s="32">
        <v>5</v>
      </c>
      <c r="K8" s="32">
        <v>55.83</v>
      </c>
      <c r="L8" s="32">
        <v>129.34</v>
      </c>
      <c r="M8" s="32">
        <v>58</v>
      </c>
      <c r="N8" s="32">
        <v>23</v>
      </c>
      <c r="O8" s="32">
        <f t="shared" ref="O8:O18" si="0">((G8*1)+(I8*16) +(J8*8)+(M8*1)+(N8*2))</f>
        <v>830</v>
      </c>
      <c r="P8" s="32" t="str">
        <f t="shared" ref="P8:P18" si="1">IF(AND(L8&gt;=60,L8&lt;=70),-1,IF(AND(L8&gt;=50,L8&lt;=59.9),-4,IF(L8&lt;50,-6,"NA")))</f>
        <v>NA</v>
      </c>
      <c r="Q8" s="32">
        <f t="shared" ref="Q8:Q18" si="2">IFERROR(O8+P8,O8)</f>
        <v>830</v>
      </c>
      <c r="R8" s="32" t="str">
        <f>IFERROR(VLOOKUP(B8,'Bowlers 20'!$A$1:$O$51,1,0),"NA")</f>
        <v>NA</v>
      </c>
      <c r="T8" s="52" t="s">
        <v>297</v>
      </c>
      <c r="U8" s="52">
        <f>Q8*2</f>
        <v>1660</v>
      </c>
      <c r="W8" s="32" t="s">
        <v>77</v>
      </c>
      <c r="X8" s="32" t="s">
        <v>52</v>
      </c>
      <c r="Y8" s="32">
        <v>762</v>
      </c>
      <c r="AC8" s="56" t="s">
        <v>54</v>
      </c>
      <c r="AD8" s="56" t="s">
        <v>55</v>
      </c>
      <c r="AE8" s="56">
        <v>871</v>
      </c>
      <c r="AG8" s="71" t="s">
        <v>297</v>
      </c>
      <c r="AH8" s="71">
        <f>AE8*2</f>
        <v>1742</v>
      </c>
    </row>
    <row r="9" spans="2:34" x14ac:dyDescent="0.25">
      <c r="B9" s="32" t="s">
        <v>51</v>
      </c>
      <c r="C9" s="32" t="s">
        <v>52</v>
      </c>
      <c r="D9" s="32">
        <v>17</v>
      </c>
      <c r="E9" s="32">
        <v>17</v>
      </c>
      <c r="F9" s="32">
        <v>3</v>
      </c>
      <c r="G9" s="32">
        <v>618</v>
      </c>
      <c r="H9" s="51" t="s">
        <v>53</v>
      </c>
      <c r="I9" s="32">
        <v>2</v>
      </c>
      <c r="J9" s="32">
        <v>4</v>
      </c>
      <c r="K9" s="32">
        <v>44.14</v>
      </c>
      <c r="L9" s="32">
        <v>144.72999999999999</v>
      </c>
      <c r="M9" s="32">
        <v>67</v>
      </c>
      <c r="N9" s="32">
        <v>12</v>
      </c>
      <c r="O9" s="32">
        <f t="shared" si="0"/>
        <v>773</v>
      </c>
      <c r="P9" s="32" t="str">
        <f t="shared" si="1"/>
        <v>NA</v>
      </c>
      <c r="Q9" s="32">
        <f t="shared" si="2"/>
        <v>773</v>
      </c>
      <c r="R9" s="32" t="str">
        <f>IFERROR(VLOOKUP(B9,'Bowlers 20'!$A$1:$O$51,1,0),"NA")</f>
        <v>NA</v>
      </c>
      <c r="T9" s="52" t="s">
        <v>298</v>
      </c>
      <c r="U9" s="52">
        <f>Q9*1.5</f>
        <v>1159.5</v>
      </c>
      <c r="W9" s="32" t="s">
        <v>92</v>
      </c>
      <c r="X9" s="32" t="s">
        <v>74</v>
      </c>
      <c r="Y9" s="32">
        <v>560</v>
      </c>
      <c r="AC9" s="67" t="s">
        <v>89</v>
      </c>
      <c r="AD9" s="67" t="s">
        <v>58</v>
      </c>
      <c r="AE9" s="67">
        <v>844</v>
      </c>
      <c r="AG9" s="71" t="s">
        <v>298</v>
      </c>
      <c r="AH9" s="71">
        <f>AE9*1.5</f>
        <v>1266</v>
      </c>
    </row>
    <row r="10" spans="2:34" x14ac:dyDescent="0.25">
      <c r="B10" s="32" t="s">
        <v>54</v>
      </c>
      <c r="C10" s="32" t="s">
        <v>55</v>
      </c>
      <c r="D10" s="32">
        <v>16</v>
      </c>
      <c r="E10" s="32">
        <v>16</v>
      </c>
      <c r="F10" s="32">
        <v>2</v>
      </c>
      <c r="G10" s="32">
        <v>548</v>
      </c>
      <c r="H10" s="32">
        <v>85</v>
      </c>
      <c r="I10" s="32">
        <v>0</v>
      </c>
      <c r="J10" s="32">
        <v>4</v>
      </c>
      <c r="K10" s="32">
        <v>39.14</v>
      </c>
      <c r="L10" s="32">
        <v>134.63999999999999</v>
      </c>
      <c r="M10" s="32">
        <v>52</v>
      </c>
      <c r="N10" s="32">
        <v>14</v>
      </c>
      <c r="O10" s="32">
        <f t="shared" si="0"/>
        <v>660</v>
      </c>
      <c r="P10" s="32" t="str">
        <f t="shared" si="1"/>
        <v>NA</v>
      </c>
      <c r="Q10" s="32">
        <f t="shared" si="2"/>
        <v>660</v>
      </c>
      <c r="R10" s="32" t="str">
        <f>IFERROR(VLOOKUP(B10,'Bowlers 20'!$A$1:$O$51,1,0),"NA")</f>
        <v>NA</v>
      </c>
      <c r="T10" s="52" t="s">
        <v>112</v>
      </c>
      <c r="U10" s="54">
        <f>SUM(Q10:Q18)+U8+U9</f>
        <v>8193.5</v>
      </c>
      <c r="W10" s="32" t="s">
        <v>93</v>
      </c>
      <c r="X10" s="32" t="s">
        <v>66</v>
      </c>
      <c r="Y10" s="32">
        <v>434</v>
      </c>
      <c r="AC10" s="56" t="s">
        <v>48</v>
      </c>
      <c r="AD10" s="56" t="s">
        <v>49</v>
      </c>
      <c r="AE10" s="56">
        <v>830</v>
      </c>
      <c r="AG10" s="71" t="s">
        <v>112</v>
      </c>
      <c r="AH10" s="54">
        <f>SUM(AE10:AE18)+AH8+AH9</f>
        <v>9505</v>
      </c>
    </row>
    <row r="11" spans="2:34" ht="18.75" x14ac:dyDescent="0.3">
      <c r="B11" s="32" t="s">
        <v>57</v>
      </c>
      <c r="C11" s="32" t="s">
        <v>58</v>
      </c>
      <c r="D11" s="32">
        <v>14</v>
      </c>
      <c r="E11" s="32">
        <v>13</v>
      </c>
      <c r="F11" s="32">
        <v>4</v>
      </c>
      <c r="G11" s="32">
        <v>516</v>
      </c>
      <c r="H11" s="32">
        <v>99</v>
      </c>
      <c r="I11" s="32">
        <v>0</v>
      </c>
      <c r="J11" s="32">
        <v>4</v>
      </c>
      <c r="K11" s="32">
        <v>57.33</v>
      </c>
      <c r="L11" s="32">
        <v>145.76</v>
      </c>
      <c r="M11" s="32">
        <v>36</v>
      </c>
      <c r="N11" s="32">
        <v>30</v>
      </c>
      <c r="O11" s="32">
        <f t="shared" si="0"/>
        <v>644</v>
      </c>
      <c r="P11" s="32" t="str">
        <f t="shared" si="1"/>
        <v>NA</v>
      </c>
      <c r="Q11" s="32">
        <f t="shared" si="2"/>
        <v>644</v>
      </c>
      <c r="R11" s="32" t="str">
        <f>IFERROR(VLOOKUP(B11,'Bowlers 20'!$A$1:$O$51,1,0),"NA")</f>
        <v>NA</v>
      </c>
      <c r="T11" s="1"/>
      <c r="W11" s="32" t="s">
        <v>100</v>
      </c>
      <c r="X11" s="32" t="s">
        <v>66</v>
      </c>
      <c r="Y11" s="32">
        <v>555</v>
      </c>
      <c r="AC11" s="70" t="s">
        <v>121</v>
      </c>
      <c r="AD11" s="70" t="s">
        <v>122</v>
      </c>
      <c r="AE11" s="70">
        <v>774</v>
      </c>
    </row>
    <row r="12" spans="2:34" x14ac:dyDescent="0.25">
      <c r="B12" s="32" t="s">
        <v>59</v>
      </c>
      <c r="C12" s="32" t="s">
        <v>58</v>
      </c>
      <c r="D12" s="32">
        <v>16</v>
      </c>
      <c r="E12" s="32">
        <v>16</v>
      </c>
      <c r="F12" s="32">
        <v>2</v>
      </c>
      <c r="G12" s="32">
        <v>503</v>
      </c>
      <c r="H12" s="32">
        <v>78</v>
      </c>
      <c r="I12" s="32">
        <v>0</v>
      </c>
      <c r="J12" s="32">
        <v>4</v>
      </c>
      <c r="K12" s="32">
        <v>35.93</v>
      </c>
      <c r="L12" s="32">
        <v>140.5</v>
      </c>
      <c r="M12" s="32">
        <v>46</v>
      </c>
      <c r="N12" s="32">
        <v>22</v>
      </c>
      <c r="O12" s="32">
        <f t="shared" si="0"/>
        <v>625</v>
      </c>
      <c r="P12" s="32" t="str">
        <f t="shared" si="1"/>
        <v>NA</v>
      </c>
      <c r="Q12" s="32">
        <f t="shared" si="2"/>
        <v>625</v>
      </c>
      <c r="R12" s="32" t="str">
        <f>IFERROR(VLOOKUP(B12,'Bowlers 20'!$A$1:$O$51,1,0),"NA")</f>
        <v>NA</v>
      </c>
      <c r="W12" s="32" t="s">
        <v>103</v>
      </c>
      <c r="X12" s="32" t="s">
        <v>68</v>
      </c>
      <c r="Y12" s="32">
        <v>487</v>
      </c>
      <c r="AC12" s="56" t="s">
        <v>51</v>
      </c>
      <c r="AD12" s="56" t="s">
        <v>52</v>
      </c>
      <c r="AE12" s="56">
        <v>773</v>
      </c>
    </row>
    <row r="13" spans="2:34" x14ac:dyDescent="0.25">
      <c r="B13" s="32" t="s">
        <v>56</v>
      </c>
      <c r="C13" s="32" t="s">
        <v>52</v>
      </c>
      <c r="D13" s="32">
        <v>17</v>
      </c>
      <c r="E13" s="32">
        <v>17</v>
      </c>
      <c r="F13" s="32">
        <v>2</v>
      </c>
      <c r="G13" s="32">
        <v>519</v>
      </c>
      <c r="H13" s="32">
        <v>88</v>
      </c>
      <c r="I13" s="32">
        <v>0</v>
      </c>
      <c r="J13" s="32">
        <v>3</v>
      </c>
      <c r="K13" s="32">
        <v>34.6</v>
      </c>
      <c r="L13" s="32">
        <v>123.28</v>
      </c>
      <c r="M13" s="32">
        <v>40</v>
      </c>
      <c r="N13" s="32">
        <v>14</v>
      </c>
      <c r="O13" s="32">
        <f t="shared" si="0"/>
        <v>611</v>
      </c>
      <c r="P13" s="32" t="str">
        <f t="shared" si="1"/>
        <v>NA</v>
      </c>
      <c r="Q13" s="32">
        <f t="shared" si="2"/>
        <v>611</v>
      </c>
      <c r="R13" s="32" t="str">
        <f>IFERROR(VLOOKUP(B13,'Bowlers 20'!$A$1:$O$51,1,0),"NA")</f>
        <v>NA</v>
      </c>
      <c r="W13" s="32" t="s">
        <v>108</v>
      </c>
      <c r="X13" s="32" t="s">
        <v>68</v>
      </c>
      <c r="Y13" s="32">
        <v>280</v>
      </c>
      <c r="AC13" s="67" t="s">
        <v>77</v>
      </c>
      <c r="AD13" s="67" t="s">
        <v>52</v>
      </c>
      <c r="AE13" s="67">
        <v>762</v>
      </c>
    </row>
    <row r="14" spans="2:34" x14ac:dyDescent="0.25">
      <c r="B14" s="32" t="s">
        <v>60</v>
      </c>
      <c r="C14" s="32" t="s">
        <v>58</v>
      </c>
      <c r="D14" s="32">
        <v>16</v>
      </c>
      <c r="E14" s="32">
        <v>15</v>
      </c>
      <c r="F14" s="32">
        <v>3</v>
      </c>
      <c r="G14" s="32">
        <v>480</v>
      </c>
      <c r="H14" s="32">
        <v>79</v>
      </c>
      <c r="I14" s="32">
        <v>0</v>
      </c>
      <c r="J14" s="32">
        <v>4</v>
      </c>
      <c r="K14" s="32">
        <v>40</v>
      </c>
      <c r="L14" s="32">
        <v>145.02000000000001</v>
      </c>
      <c r="M14" s="32">
        <v>61</v>
      </c>
      <c r="N14" s="32">
        <v>11</v>
      </c>
      <c r="O14" s="32">
        <f t="shared" si="0"/>
        <v>595</v>
      </c>
      <c r="P14" s="32" t="str">
        <f t="shared" si="1"/>
        <v>NA</v>
      </c>
      <c r="Q14" s="32">
        <f t="shared" si="2"/>
        <v>595</v>
      </c>
      <c r="R14" s="32" t="str">
        <f>IFERROR(VLOOKUP(B14,'Bowlers 20'!$A$1:$O$51,1,0),"NA")</f>
        <v>NA</v>
      </c>
      <c r="W14" s="32" t="s">
        <v>109</v>
      </c>
      <c r="X14" s="32" t="s">
        <v>52</v>
      </c>
      <c r="Y14" s="32">
        <v>364</v>
      </c>
      <c r="AC14" s="70" t="s">
        <v>123</v>
      </c>
      <c r="AD14" s="70" t="s">
        <v>124</v>
      </c>
      <c r="AE14" s="70">
        <v>707</v>
      </c>
    </row>
    <row r="15" spans="2:34" x14ac:dyDescent="0.25">
      <c r="B15" s="32" t="s">
        <v>61</v>
      </c>
      <c r="C15" s="32" t="s">
        <v>62</v>
      </c>
      <c r="D15" s="32">
        <v>15</v>
      </c>
      <c r="E15" s="32">
        <v>15</v>
      </c>
      <c r="F15" s="32">
        <v>0</v>
      </c>
      <c r="G15" s="32">
        <v>473</v>
      </c>
      <c r="H15" s="32">
        <v>74</v>
      </c>
      <c r="I15" s="32">
        <v>0</v>
      </c>
      <c r="J15" s="32">
        <v>5</v>
      </c>
      <c r="K15" s="32">
        <v>31.53</v>
      </c>
      <c r="L15" s="32">
        <v>124.8</v>
      </c>
      <c r="M15" s="32">
        <v>51</v>
      </c>
      <c r="N15" s="32">
        <v>8</v>
      </c>
      <c r="O15" s="32">
        <f t="shared" si="0"/>
        <v>580</v>
      </c>
      <c r="P15" s="32" t="str">
        <f t="shared" si="1"/>
        <v>NA</v>
      </c>
      <c r="Q15" s="32">
        <f t="shared" si="2"/>
        <v>580</v>
      </c>
      <c r="R15" s="32" t="str">
        <f>IFERROR(VLOOKUP(B15,'Bowlers 20'!$A$1:$O$51,1,0),"NA")</f>
        <v>NA</v>
      </c>
      <c r="W15" s="32" t="s">
        <v>110</v>
      </c>
      <c r="X15" s="32" t="s">
        <v>68</v>
      </c>
      <c r="Y15" s="32">
        <v>292</v>
      </c>
      <c r="AC15" s="56" t="s">
        <v>110</v>
      </c>
      <c r="AD15" s="56" t="s">
        <v>68</v>
      </c>
      <c r="AE15" s="56">
        <v>677</v>
      </c>
    </row>
    <row r="16" spans="2:34" x14ac:dyDescent="0.25">
      <c r="B16" s="32" t="s">
        <v>64</v>
      </c>
      <c r="C16" s="32" t="s">
        <v>62</v>
      </c>
      <c r="D16" s="32">
        <v>15</v>
      </c>
      <c r="E16" s="32">
        <v>14</v>
      </c>
      <c r="F16" s="32">
        <v>4</v>
      </c>
      <c r="G16" s="32">
        <v>454</v>
      </c>
      <c r="H16" s="32">
        <v>73</v>
      </c>
      <c r="I16" s="32">
        <v>0</v>
      </c>
      <c r="J16" s="32">
        <v>5</v>
      </c>
      <c r="K16" s="32">
        <v>45.4</v>
      </c>
      <c r="L16" s="32">
        <v>158.74</v>
      </c>
      <c r="M16" s="32">
        <v>33</v>
      </c>
      <c r="N16" s="32">
        <v>23</v>
      </c>
      <c r="O16" s="32">
        <f t="shared" si="0"/>
        <v>573</v>
      </c>
      <c r="P16" s="32" t="str">
        <f t="shared" si="1"/>
        <v>NA</v>
      </c>
      <c r="Q16" s="32">
        <f t="shared" si="2"/>
        <v>573</v>
      </c>
      <c r="R16" s="32" t="str">
        <f>IFERROR(VLOOKUP(B16,'Bowlers 20'!$A$1:$O$51,1,0),"NA")</f>
        <v>NA</v>
      </c>
      <c r="AC16" s="70" t="s">
        <v>256</v>
      </c>
      <c r="AD16" s="70" t="s">
        <v>257</v>
      </c>
      <c r="AE16" s="70">
        <v>674</v>
      </c>
    </row>
    <row r="17" spans="2:34" x14ac:dyDescent="0.25">
      <c r="B17" s="32" t="s">
        <v>65</v>
      </c>
      <c r="C17" s="32" t="s">
        <v>66</v>
      </c>
      <c r="D17" s="32">
        <v>13</v>
      </c>
      <c r="E17" s="32">
        <v>13</v>
      </c>
      <c r="F17" s="32">
        <v>2</v>
      </c>
      <c r="G17" s="32">
        <v>449</v>
      </c>
      <c r="H17" s="32">
        <v>87</v>
      </c>
      <c r="I17" s="32">
        <v>0</v>
      </c>
      <c r="J17" s="32">
        <v>4</v>
      </c>
      <c r="K17" s="32">
        <v>40.82</v>
      </c>
      <c r="L17" s="32">
        <v>140.75</v>
      </c>
      <c r="M17" s="32">
        <v>42</v>
      </c>
      <c r="N17" s="32">
        <v>14</v>
      </c>
      <c r="O17" s="32">
        <f t="shared" si="0"/>
        <v>551</v>
      </c>
      <c r="P17" s="32" t="str">
        <f t="shared" si="1"/>
        <v>NA</v>
      </c>
      <c r="Q17" s="32">
        <f t="shared" si="2"/>
        <v>551</v>
      </c>
      <c r="R17" s="32" t="str">
        <f>IFERROR(VLOOKUP(B17,'Bowlers 20'!$A$1:$O$51,1,0),"NA")</f>
        <v>NA</v>
      </c>
      <c r="AC17" s="56" t="s">
        <v>59</v>
      </c>
      <c r="AD17" s="56" t="s">
        <v>58</v>
      </c>
      <c r="AE17" s="56">
        <v>656</v>
      </c>
    </row>
    <row r="18" spans="2:34" x14ac:dyDescent="0.25">
      <c r="B18" s="32" t="s">
        <v>63</v>
      </c>
      <c r="C18" s="32" t="s">
        <v>62</v>
      </c>
      <c r="D18" s="32">
        <v>15</v>
      </c>
      <c r="E18" s="32">
        <v>15</v>
      </c>
      <c r="F18" s="32">
        <v>4</v>
      </c>
      <c r="G18" s="32">
        <v>466</v>
      </c>
      <c r="H18" s="32">
        <v>90</v>
      </c>
      <c r="I18" s="32">
        <v>0</v>
      </c>
      <c r="J18" s="32">
        <v>3</v>
      </c>
      <c r="K18" s="32">
        <v>42.36</v>
      </c>
      <c r="L18" s="32">
        <v>121.35</v>
      </c>
      <c r="M18" s="32">
        <v>23</v>
      </c>
      <c r="N18" s="32">
        <v>11</v>
      </c>
      <c r="O18" s="32">
        <f t="shared" si="0"/>
        <v>535</v>
      </c>
      <c r="P18" s="32" t="str">
        <f t="shared" si="1"/>
        <v>NA</v>
      </c>
      <c r="Q18" s="32">
        <f t="shared" si="2"/>
        <v>535</v>
      </c>
      <c r="R18" s="32" t="str">
        <f>IFERROR(VLOOKUP(B18,'Bowlers 20'!$A$1:$O$51,1,0),"NA")</f>
        <v>NA</v>
      </c>
      <c r="AC18" s="56" t="s">
        <v>57</v>
      </c>
      <c r="AD18" s="56" t="s">
        <v>58</v>
      </c>
      <c r="AE18" s="56">
        <v>644</v>
      </c>
    </row>
    <row r="20" spans="2:34" ht="18.75" x14ac:dyDescent="0.3">
      <c r="B20" s="49">
        <v>2019</v>
      </c>
      <c r="W20" s="50" t="s">
        <v>300</v>
      </c>
      <c r="X20" s="50"/>
      <c r="AC20" s="66" t="s">
        <v>315</v>
      </c>
      <c r="AD20" s="66"/>
    </row>
    <row r="21" spans="2:34" ht="18.75" x14ac:dyDescent="0.3">
      <c r="B21" s="31" t="s">
        <v>35</v>
      </c>
      <c r="C21" s="31" t="s">
        <v>36</v>
      </c>
      <c r="D21" s="31" t="s">
        <v>37</v>
      </c>
      <c r="E21" s="31" t="s">
        <v>38</v>
      </c>
      <c r="F21" s="31" t="s">
        <v>39</v>
      </c>
      <c r="G21" s="31" t="s">
        <v>40</v>
      </c>
      <c r="H21" s="31" t="s">
        <v>41</v>
      </c>
      <c r="I21" s="31" t="s">
        <v>42</v>
      </c>
      <c r="J21" s="31" t="s">
        <v>43</v>
      </c>
      <c r="K21" s="31" t="s">
        <v>44</v>
      </c>
      <c r="L21" s="31" t="s">
        <v>45</v>
      </c>
      <c r="M21" s="31" t="s">
        <v>46</v>
      </c>
      <c r="N21" s="31" t="s">
        <v>47</v>
      </c>
      <c r="O21" s="31" t="s">
        <v>111</v>
      </c>
      <c r="P21" s="31" t="s">
        <v>239</v>
      </c>
      <c r="Q21" s="31" t="s">
        <v>112</v>
      </c>
      <c r="R21" s="31" t="s">
        <v>113</v>
      </c>
      <c r="T21" s="31" t="s">
        <v>310</v>
      </c>
      <c r="U21" s="31" t="s">
        <v>311</v>
      </c>
      <c r="W21" s="31" t="s">
        <v>35</v>
      </c>
      <c r="X21" s="31" t="s">
        <v>36</v>
      </c>
      <c r="Y21" s="31" t="s">
        <v>293</v>
      </c>
      <c r="AC21" s="31" t="s">
        <v>35</v>
      </c>
      <c r="AD21" s="31" t="s">
        <v>36</v>
      </c>
      <c r="AE21" s="31" t="s">
        <v>294</v>
      </c>
      <c r="AG21" s="31" t="s">
        <v>310</v>
      </c>
      <c r="AH21" s="31" t="s">
        <v>311</v>
      </c>
    </row>
    <row r="22" spans="2:34" x14ac:dyDescent="0.25">
      <c r="B22" s="32" t="s">
        <v>54</v>
      </c>
      <c r="C22" s="32" t="s">
        <v>55</v>
      </c>
      <c r="D22" s="32">
        <v>12</v>
      </c>
      <c r="E22" s="32">
        <v>12</v>
      </c>
      <c r="F22" s="32">
        <v>2</v>
      </c>
      <c r="G22" s="32">
        <v>692</v>
      </c>
      <c r="H22" s="32">
        <v>100</v>
      </c>
      <c r="I22" s="32">
        <v>1</v>
      </c>
      <c r="J22" s="32">
        <v>8</v>
      </c>
      <c r="K22" s="32">
        <v>69.2</v>
      </c>
      <c r="L22" s="32">
        <v>143.87</v>
      </c>
      <c r="M22" s="32">
        <v>57</v>
      </c>
      <c r="N22" s="32">
        <v>21</v>
      </c>
      <c r="O22" s="32">
        <f t="shared" ref="O22:O32" si="3">((G22*1)+(I22*16) +(J22*8)+(M22*1)+(N22*2))</f>
        <v>871</v>
      </c>
      <c r="P22" s="32" t="str">
        <f t="shared" ref="P22:P32" si="4">IF(AND(L22&gt;=60,L22&lt;=70),-1,IF(AND(L22&gt;=50,L22&lt;=59.9),-4,IF(L22&lt;50,-6,"NA")))</f>
        <v>NA</v>
      </c>
      <c r="Q22" s="32">
        <f t="shared" ref="Q22:Q32" si="5">IFERROR(O22+P22,O22)</f>
        <v>871</v>
      </c>
      <c r="R22" s="32" t="str">
        <f>IFERROR(VLOOKUP(B22,'Bowlers 19'!$A$1:$O$51,1,0),"NA")</f>
        <v>NA</v>
      </c>
      <c r="T22" s="53" t="s">
        <v>297</v>
      </c>
      <c r="U22" s="53">
        <f>Q22*2</f>
        <v>1742</v>
      </c>
      <c r="W22" s="32" t="s">
        <v>110</v>
      </c>
      <c r="X22" s="32" t="s">
        <v>68</v>
      </c>
      <c r="Y22" s="32">
        <v>950</v>
      </c>
      <c r="AC22" s="56" t="s">
        <v>54</v>
      </c>
      <c r="AD22" s="56" t="s">
        <v>55</v>
      </c>
      <c r="AE22" s="56">
        <v>871</v>
      </c>
      <c r="AG22" s="72" t="s">
        <v>297</v>
      </c>
      <c r="AH22" s="72">
        <f>AE22*2</f>
        <v>1742</v>
      </c>
    </row>
    <row r="23" spans="2:34" x14ac:dyDescent="0.25">
      <c r="B23" s="32" t="s">
        <v>48</v>
      </c>
      <c r="C23" s="32" t="s">
        <v>49</v>
      </c>
      <c r="D23" s="32">
        <v>14</v>
      </c>
      <c r="E23" s="32">
        <v>14</v>
      </c>
      <c r="F23" s="32">
        <v>3</v>
      </c>
      <c r="G23" s="32">
        <v>593</v>
      </c>
      <c r="H23" s="32">
        <v>100</v>
      </c>
      <c r="I23" s="32">
        <v>1</v>
      </c>
      <c r="J23" s="32">
        <v>6</v>
      </c>
      <c r="K23" s="32">
        <v>53.91</v>
      </c>
      <c r="L23" s="32">
        <v>135.38999999999999</v>
      </c>
      <c r="M23" s="32">
        <v>49</v>
      </c>
      <c r="N23" s="32">
        <v>25</v>
      </c>
      <c r="O23" s="32">
        <f t="shared" si="3"/>
        <v>756</v>
      </c>
      <c r="P23" s="32" t="str">
        <f t="shared" si="4"/>
        <v>NA</v>
      </c>
      <c r="Q23" s="32">
        <f t="shared" si="5"/>
        <v>756</v>
      </c>
      <c r="R23" s="32" t="str">
        <f>IFERROR(VLOOKUP(B23,'Bowlers 19'!$A$1:$O$51,1,0),"NA")</f>
        <v>NA</v>
      </c>
      <c r="T23" s="53" t="s">
        <v>298</v>
      </c>
      <c r="U23" s="53">
        <f>Q23*1.5</f>
        <v>1134</v>
      </c>
      <c r="W23" s="32" t="s">
        <v>89</v>
      </c>
      <c r="X23" s="32" t="s">
        <v>58</v>
      </c>
      <c r="Y23" s="32">
        <v>844</v>
      </c>
      <c r="AC23" s="67" t="s">
        <v>89</v>
      </c>
      <c r="AD23" s="67" t="s">
        <v>58</v>
      </c>
      <c r="AE23" s="67">
        <v>844</v>
      </c>
      <c r="AG23" s="72" t="s">
        <v>298</v>
      </c>
      <c r="AH23" s="72">
        <f>AE23*1.5</f>
        <v>1266</v>
      </c>
    </row>
    <row r="24" spans="2:34" x14ac:dyDescent="0.25">
      <c r="B24" s="32" t="s">
        <v>110</v>
      </c>
      <c r="C24" s="32" t="s">
        <v>68</v>
      </c>
      <c r="D24" s="32">
        <v>14</v>
      </c>
      <c r="E24" s="32">
        <v>13</v>
      </c>
      <c r="F24" s="32">
        <v>4</v>
      </c>
      <c r="G24" s="32">
        <v>510</v>
      </c>
      <c r="H24" s="32">
        <v>80</v>
      </c>
      <c r="I24" s="32">
        <v>0</v>
      </c>
      <c r="J24" s="32">
        <v>4</v>
      </c>
      <c r="K24" s="32">
        <v>56.67</v>
      </c>
      <c r="L24" s="32">
        <v>204.82</v>
      </c>
      <c r="M24" s="32">
        <v>31</v>
      </c>
      <c r="N24" s="32">
        <v>52</v>
      </c>
      <c r="O24" s="32">
        <f t="shared" si="3"/>
        <v>677</v>
      </c>
      <c r="P24" s="32" t="str">
        <f t="shared" si="4"/>
        <v>NA</v>
      </c>
      <c r="Q24" s="32">
        <f t="shared" si="5"/>
        <v>677</v>
      </c>
      <c r="R24" s="32" t="str">
        <f>IFERROR(VLOOKUP(B24,'Bowlers 19'!$A$1:$O$51,1,0),"NA")</f>
        <v>A D Russell</v>
      </c>
      <c r="T24" s="53" t="s">
        <v>112</v>
      </c>
      <c r="U24" s="54">
        <f>SUM(Q24:Q32)+U22+U23</f>
        <v>8344</v>
      </c>
      <c r="W24" s="32" t="s">
        <v>93</v>
      </c>
      <c r="X24" s="32" t="s">
        <v>66</v>
      </c>
      <c r="Y24" s="32">
        <v>504</v>
      </c>
      <c r="AC24" s="56" t="s">
        <v>48</v>
      </c>
      <c r="AD24" s="56" t="s">
        <v>49</v>
      </c>
      <c r="AE24" s="56">
        <v>830</v>
      </c>
      <c r="AG24" s="72" t="s">
        <v>112</v>
      </c>
      <c r="AH24" s="54">
        <f>SUM(AE24:AE32)+AH22+AH23</f>
        <v>9466</v>
      </c>
    </row>
    <row r="25" spans="2:34" ht="18.75" x14ac:dyDescent="0.3">
      <c r="B25" s="32" t="s">
        <v>59</v>
      </c>
      <c r="C25" s="32" t="s">
        <v>58</v>
      </c>
      <c r="D25" s="32">
        <v>16</v>
      </c>
      <c r="E25" s="32">
        <v>16</v>
      </c>
      <c r="F25" s="32">
        <v>1</v>
      </c>
      <c r="G25" s="32">
        <v>529</v>
      </c>
      <c r="H25" s="32">
        <v>81</v>
      </c>
      <c r="I25" s="32">
        <v>0</v>
      </c>
      <c r="J25" s="32">
        <v>4</v>
      </c>
      <c r="K25" s="32">
        <v>35.270000000000003</v>
      </c>
      <c r="L25" s="32">
        <v>132.91</v>
      </c>
      <c r="M25" s="32">
        <v>45</v>
      </c>
      <c r="N25" s="32">
        <v>25</v>
      </c>
      <c r="O25" s="32">
        <f t="shared" si="3"/>
        <v>656</v>
      </c>
      <c r="P25" s="32" t="str">
        <f t="shared" si="4"/>
        <v>NA</v>
      </c>
      <c r="Q25" s="32">
        <f t="shared" si="5"/>
        <v>656</v>
      </c>
      <c r="R25" s="32" t="str">
        <f>IFERROR(VLOOKUP(B25,'Bowlers 19'!$A$1:$O$51,1,0),"NA")</f>
        <v>NA</v>
      </c>
      <c r="T25" s="1"/>
      <c r="W25" s="32" t="s">
        <v>249</v>
      </c>
      <c r="X25" s="32" t="s">
        <v>62</v>
      </c>
      <c r="Y25" s="32">
        <v>436</v>
      </c>
      <c r="AC25" s="70" t="s">
        <v>121</v>
      </c>
      <c r="AD25" s="70" t="s">
        <v>122</v>
      </c>
      <c r="AE25" s="70">
        <v>774</v>
      </c>
    </row>
    <row r="26" spans="2:34" x14ac:dyDescent="0.25">
      <c r="B26" s="32" t="s">
        <v>51</v>
      </c>
      <c r="C26" s="32" t="s">
        <v>52</v>
      </c>
      <c r="D26" s="32">
        <v>16</v>
      </c>
      <c r="E26" s="32">
        <v>16</v>
      </c>
      <c r="F26" s="32">
        <v>1</v>
      </c>
      <c r="G26" s="32">
        <v>521</v>
      </c>
      <c r="H26" s="32">
        <v>97</v>
      </c>
      <c r="I26" s="32">
        <v>0</v>
      </c>
      <c r="J26" s="32">
        <v>5</v>
      </c>
      <c r="K26" s="32">
        <v>34.729999999999997</v>
      </c>
      <c r="L26" s="32">
        <v>135.68</v>
      </c>
      <c r="M26" s="32">
        <v>64</v>
      </c>
      <c r="N26" s="32">
        <v>11</v>
      </c>
      <c r="O26" s="32">
        <f t="shared" si="3"/>
        <v>647</v>
      </c>
      <c r="P26" s="32" t="str">
        <f t="shared" si="4"/>
        <v>NA</v>
      </c>
      <c r="Q26" s="32">
        <f t="shared" si="5"/>
        <v>647</v>
      </c>
      <c r="R26" s="32" t="str">
        <f>IFERROR(VLOOKUP(B26,'Bowlers 19'!$A$1:$O$51,1,0),"NA")</f>
        <v>NA</v>
      </c>
      <c r="W26" s="32" t="s">
        <v>87</v>
      </c>
      <c r="X26" s="32" t="s">
        <v>74</v>
      </c>
      <c r="Y26" s="32">
        <v>283</v>
      </c>
      <c r="AC26" s="56" t="s">
        <v>51</v>
      </c>
      <c r="AD26" s="56" t="s">
        <v>52</v>
      </c>
      <c r="AE26" s="56">
        <v>773</v>
      </c>
    </row>
    <row r="27" spans="2:34" x14ac:dyDescent="0.25">
      <c r="B27" s="32" t="s">
        <v>86</v>
      </c>
      <c r="C27" s="32" t="s">
        <v>49</v>
      </c>
      <c r="D27" s="32">
        <v>13</v>
      </c>
      <c r="E27" s="32">
        <v>13</v>
      </c>
      <c r="F27" s="32">
        <v>1</v>
      </c>
      <c r="G27" s="32">
        <v>490</v>
      </c>
      <c r="H27" s="32">
        <v>99</v>
      </c>
      <c r="I27" s="32">
        <v>0</v>
      </c>
      <c r="J27" s="32">
        <v>4</v>
      </c>
      <c r="K27" s="32">
        <v>40.83</v>
      </c>
      <c r="L27" s="32">
        <v>153.61000000000001</v>
      </c>
      <c r="M27" s="32">
        <v>45</v>
      </c>
      <c r="N27" s="32">
        <v>34</v>
      </c>
      <c r="O27" s="32">
        <f t="shared" si="3"/>
        <v>635</v>
      </c>
      <c r="P27" s="32" t="str">
        <f t="shared" si="4"/>
        <v>NA</v>
      </c>
      <c r="Q27" s="32">
        <f t="shared" si="5"/>
        <v>635</v>
      </c>
      <c r="R27" s="32" t="str">
        <f>IFERROR(VLOOKUP(B27,'Bowlers 19'!$A$1:$O$51,1,0),"NA")</f>
        <v>NA</v>
      </c>
      <c r="W27" s="32" t="s">
        <v>255</v>
      </c>
      <c r="X27" s="32" t="s">
        <v>55</v>
      </c>
      <c r="Y27" s="32">
        <v>345</v>
      </c>
      <c r="AC27" s="67" t="s">
        <v>77</v>
      </c>
      <c r="AD27" s="67" t="s">
        <v>52</v>
      </c>
      <c r="AE27" s="67">
        <v>762</v>
      </c>
    </row>
    <row r="28" spans="2:34" x14ac:dyDescent="0.25">
      <c r="B28" s="32" t="s">
        <v>80</v>
      </c>
      <c r="C28" s="32" t="s">
        <v>52</v>
      </c>
      <c r="D28" s="32">
        <v>16</v>
      </c>
      <c r="E28" s="32">
        <v>16</v>
      </c>
      <c r="F28" s="32">
        <v>3</v>
      </c>
      <c r="G28" s="32">
        <v>488</v>
      </c>
      <c r="H28" s="32">
        <v>78</v>
      </c>
      <c r="I28" s="32">
        <v>0</v>
      </c>
      <c r="J28" s="32">
        <v>3</v>
      </c>
      <c r="K28" s="32">
        <v>37.54</v>
      </c>
      <c r="L28" s="32">
        <v>162.66999999999999</v>
      </c>
      <c r="M28" s="32">
        <v>37</v>
      </c>
      <c r="N28" s="32">
        <v>27</v>
      </c>
      <c r="O28" s="32">
        <f t="shared" si="3"/>
        <v>603</v>
      </c>
      <c r="P28" s="32" t="str">
        <f t="shared" si="4"/>
        <v>NA</v>
      </c>
      <c r="Q28" s="32">
        <f t="shared" si="5"/>
        <v>603</v>
      </c>
      <c r="R28" s="32" t="str">
        <f>IFERROR(VLOOKUP(B28,'Bowlers 19'!$A$1:$O$51,1,0),"NA")</f>
        <v>NA</v>
      </c>
      <c r="AC28" s="70" t="s">
        <v>123</v>
      </c>
      <c r="AD28" s="70" t="s">
        <v>124</v>
      </c>
      <c r="AE28" s="70">
        <v>707</v>
      </c>
    </row>
    <row r="29" spans="2:34" x14ac:dyDescent="0.25">
      <c r="B29" s="32" t="s">
        <v>63</v>
      </c>
      <c r="C29" s="32" t="s">
        <v>62</v>
      </c>
      <c r="D29" s="32">
        <v>14</v>
      </c>
      <c r="E29" s="32">
        <v>14</v>
      </c>
      <c r="F29" s="32">
        <v>0</v>
      </c>
      <c r="G29" s="32">
        <v>464</v>
      </c>
      <c r="H29" s="32">
        <v>100</v>
      </c>
      <c r="I29" s="32">
        <v>1</v>
      </c>
      <c r="J29" s="32">
        <v>2</v>
      </c>
      <c r="K29" s="32">
        <v>33.14</v>
      </c>
      <c r="L29" s="32">
        <v>141.46</v>
      </c>
      <c r="M29" s="32">
        <v>46</v>
      </c>
      <c r="N29" s="32">
        <v>13</v>
      </c>
      <c r="O29" s="32">
        <f t="shared" si="3"/>
        <v>568</v>
      </c>
      <c r="P29" s="32" t="str">
        <f t="shared" si="4"/>
        <v>NA</v>
      </c>
      <c r="Q29" s="32">
        <f t="shared" si="5"/>
        <v>568</v>
      </c>
      <c r="R29" s="32" t="str">
        <f>IFERROR(VLOOKUP(B29,'Bowlers 19'!$A$1:$O$51,1,0),"NA")</f>
        <v>NA</v>
      </c>
      <c r="AC29" s="56" t="s">
        <v>110</v>
      </c>
      <c r="AD29" s="56" t="s">
        <v>68</v>
      </c>
      <c r="AE29" s="56">
        <v>677</v>
      </c>
    </row>
    <row r="30" spans="2:34" x14ac:dyDescent="0.25">
      <c r="B30" s="32" t="s">
        <v>64</v>
      </c>
      <c r="C30" s="32" t="s">
        <v>62</v>
      </c>
      <c r="D30" s="32">
        <v>13</v>
      </c>
      <c r="E30" s="32">
        <v>13</v>
      </c>
      <c r="F30" s="32">
        <v>3</v>
      </c>
      <c r="G30" s="32">
        <v>442</v>
      </c>
      <c r="H30" s="32">
        <v>82</v>
      </c>
      <c r="I30" s="32">
        <v>0</v>
      </c>
      <c r="J30" s="32">
        <v>5</v>
      </c>
      <c r="K30" s="32">
        <v>44.2</v>
      </c>
      <c r="L30" s="32">
        <v>154.01</v>
      </c>
      <c r="M30" s="32">
        <v>31</v>
      </c>
      <c r="N30" s="32">
        <v>26</v>
      </c>
      <c r="O30" s="32">
        <f t="shared" si="3"/>
        <v>565</v>
      </c>
      <c r="P30" s="32" t="str">
        <f t="shared" si="4"/>
        <v>NA</v>
      </c>
      <c r="Q30" s="32">
        <f t="shared" si="5"/>
        <v>565</v>
      </c>
      <c r="R30" s="32" t="str">
        <f>IFERROR(VLOOKUP(B30,'Bowlers 19'!$A$1:$O$51,1,0),"NA")</f>
        <v>NA</v>
      </c>
      <c r="AC30" s="56" t="s">
        <v>59</v>
      </c>
      <c r="AD30" s="56" t="s">
        <v>58</v>
      </c>
      <c r="AE30" s="56">
        <v>656</v>
      </c>
    </row>
    <row r="31" spans="2:34" x14ac:dyDescent="0.25">
      <c r="B31" s="32" t="s">
        <v>79</v>
      </c>
      <c r="C31" s="32" t="s">
        <v>55</v>
      </c>
      <c r="D31" s="32">
        <v>10</v>
      </c>
      <c r="E31" s="32">
        <v>10</v>
      </c>
      <c r="F31" s="32">
        <v>2</v>
      </c>
      <c r="G31" s="32">
        <v>445</v>
      </c>
      <c r="H31" s="32">
        <v>114</v>
      </c>
      <c r="I31" s="32">
        <v>1</v>
      </c>
      <c r="J31" s="32">
        <v>2</v>
      </c>
      <c r="K31" s="32">
        <v>55.63</v>
      </c>
      <c r="L31" s="32">
        <v>157.24</v>
      </c>
      <c r="M31" s="32">
        <v>48</v>
      </c>
      <c r="N31" s="32">
        <v>18</v>
      </c>
      <c r="O31" s="32">
        <f t="shared" si="3"/>
        <v>561</v>
      </c>
      <c r="P31" s="32" t="str">
        <f t="shared" si="4"/>
        <v>NA</v>
      </c>
      <c r="Q31" s="32">
        <f t="shared" si="5"/>
        <v>561</v>
      </c>
      <c r="R31" s="32" t="str">
        <f>IFERROR(VLOOKUP(B31,'Bowlers 19'!$A$1:$O$51,1,0),"NA")</f>
        <v>NA</v>
      </c>
      <c r="W31" s="56"/>
      <c r="X31" s="32" t="s">
        <v>317</v>
      </c>
      <c r="AC31" s="56" t="s">
        <v>57</v>
      </c>
      <c r="AD31" s="56" t="s">
        <v>58</v>
      </c>
      <c r="AE31" s="56">
        <v>644</v>
      </c>
    </row>
    <row r="32" spans="2:34" x14ac:dyDescent="0.25">
      <c r="B32" s="32" t="s">
        <v>56</v>
      </c>
      <c r="C32" s="32" t="s">
        <v>52</v>
      </c>
      <c r="D32" s="32">
        <v>16</v>
      </c>
      <c r="E32" s="32">
        <v>16</v>
      </c>
      <c r="F32" s="32">
        <v>1</v>
      </c>
      <c r="G32" s="32">
        <v>463</v>
      </c>
      <c r="H32" s="32">
        <v>67</v>
      </c>
      <c r="I32" s="32">
        <v>0</v>
      </c>
      <c r="J32" s="32">
        <v>3</v>
      </c>
      <c r="K32" s="32">
        <v>30.87</v>
      </c>
      <c r="L32" s="32">
        <v>119.95</v>
      </c>
      <c r="M32" s="32">
        <v>41</v>
      </c>
      <c r="N32" s="32">
        <v>14</v>
      </c>
      <c r="O32" s="32">
        <f t="shared" si="3"/>
        <v>556</v>
      </c>
      <c r="P32" s="32" t="str">
        <f t="shared" si="4"/>
        <v>NA</v>
      </c>
      <c r="Q32" s="32">
        <f t="shared" si="5"/>
        <v>556</v>
      </c>
      <c r="R32" s="32" t="str">
        <f>IFERROR(VLOOKUP(B32,'Bowlers 19'!$A$1:$O$51,1,0),"NA")</f>
        <v>NA</v>
      </c>
      <c r="W32" s="70"/>
      <c r="X32" s="32" t="s">
        <v>318</v>
      </c>
      <c r="AC32" s="56" t="s">
        <v>86</v>
      </c>
      <c r="AD32" s="56" t="s">
        <v>49</v>
      </c>
      <c r="AE32" s="56">
        <v>635</v>
      </c>
    </row>
    <row r="33" spans="2:34" x14ac:dyDescent="0.25">
      <c r="W33" s="67"/>
      <c r="X33" s="32" t="s">
        <v>308</v>
      </c>
    </row>
    <row r="35" spans="2:34" ht="19.5" thickBot="1" x14ac:dyDescent="0.35">
      <c r="AC35" s="66" t="s">
        <v>316</v>
      </c>
      <c r="AD35" s="66"/>
    </row>
    <row r="36" spans="2:34" ht="18.75" x14ac:dyDescent="0.3">
      <c r="B36" s="1" t="s">
        <v>312</v>
      </c>
      <c r="C36" s="33" t="s">
        <v>309</v>
      </c>
      <c r="D36" s="34" t="s">
        <v>35</v>
      </c>
      <c r="E36" s="34" t="s">
        <v>36</v>
      </c>
      <c r="F36" s="34" t="s">
        <v>112</v>
      </c>
      <c r="G36" s="78" t="s">
        <v>308</v>
      </c>
      <c r="H36" s="79"/>
      <c r="K36" s="31" t="s">
        <v>310</v>
      </c>
      <c r="L36" s="31" t="s">
        <v>311</v>
      </c>
      <c r="AC36" s="31" t="s">
        <v>35</v>
      </c>
      <c r="AD36" s="31" t="s">
        <v>36</v>
      </c>
      <c r="AE36" s="31" t="s">
        <v>294</v>
      </c>
      <c r="AG36" s="31" t="s">
        <v>310</v>
      </c>
      <c r="AH36" s="31" t="s">
        <v>311</v>
      </c>
    </row>
    <row r="37" spans="2:34" x14ac:dyDescent="0.25">
      <c r="C37" s="63">
        <v>1</v>
      </c>
      <c r="D37" s="56" t="s">
        <v>54</v>
      </c>
      <c r="E37" s="56" t="s">
        <v>55</v>
      </c>
      <c r="F37" s="56">
        <v>871</v>
      </c>
      <c r="G37" s="21"/>
      <c r="H37" s="60"/>
      <c r="K37" s="55" t="s">
        <v>297</v>
      </c>
      <c r="L37" s="55">
        <f>F37*2</f>
        <v>1742</v>
      </c>
      <c r="AC37" s="56" t="s">
        <v>54</v>
      </c>
      <c r="AD37" s="56" t="s">
        <v>55</v>
      </c>
      <c r="AE37" s="56">
        <v>871</v>
      </c>
      <c r="AG37" s="73" t="s">
        <v>297</v>
      </c>
      <c r="AH37" s="73">
        <f>AE37*2</f>
        <v>1742</v>
      </c>
    </row>
    <row r="38" spans="2:34" x14ac:dyDescent="0.25">
      <c r="C38" s="63">
        <v>2</v>
      </c>
      <c r="D38" s="56" t="s">
        <v>48</v>
      </c>
      <c r="E38" s="56" t="s">
        <v>49</v>
      </c>
      <c r="F38" s="56">
        <v>830</v>
      </c>
      <c r="G38" s="21"/>
      <c r="H38" s="60"/>
      <c r="K38" s="55" t="s">
        <v>298</v>
      </c>
      <c r="L38" s="55">
        <f>F38*1.5</f>
        <v>1245</v>
      </c>
      <c r="AC38" s="67" t="s">
        <v>89</v>
      </c>
      <c r="AD38" s="67" t="s">
        <v>58</v>
      </c>
      <c r="AE38" s="67">
        <v>844</v>
      </c>
      <c r="AG38" s="73" t="s">
        <v>298</v>
      </c>
      <c r="AH38" s="73">
        <f>AE38*1.5</f>
        <v>1266</v>
      </c>
    </row>
    <row r="39" spans="2:34" x14ac:dyDescent="0.25">
      <c r="C39" s="63">
        <v>3</v>
      </c>
      <c r="D39" s="56" t="s">
        <v>51</v>
      </c>
      <c r="E39" s="56" t="s">
        <v>52</v>
      </c>
      <c r="F39" s="56">
        <v>773</v>
      </c>
      <c r="G39" s="21"/>
      <c r="H39" s="60"/>
      <c r="K39" s="55" t="s">
        <v>112</v>
      </c>
      <c r="L39" s="54">
        <f>SUM(F39:F47)+L37+L38</f>
        <v>8761</v>
      </c>
      <c r="AC39" s="56" t="s">
        <v>48</v>
      </c>
      <c r="AD39" s="56" t="s">
        <v>49</v>
      </c>
      <c r="AE39" s="56">
        <v>830</v>
      </c>
      <c r="AG39" s="73" t="s">
        <v>112</v>
      </c>
      <c r="AH39" s="54">
        <f>SUM(AE39:AE47)+AH37+AH38</f>
        <v>9156</v>
      </c>
    </row>
    <row r="40" spans="2:34" x14ac:dyDescent="0.25">
      <c r="C40" s="63">
        <v>4</v>
      </c>
      <c r="D40" s="56" t="s">
        <v>110</v>
      </c>
      <c r="E40" s="56" t="s">
        <v>68</v>
      </c>
      <c r="F40" s="56">
        <v>677</v>
      </c>
      <c r="G40" s="21" t="s">
        <v>110</v>
      </c>
      <c r="H40" s="60"/>
      <c r="AC40" s="56" t="s">
        <v>51</v>
      </c>
      <c r="AD40" s="56" t="s">
        <v>52</v>
      </c>
      <c r="AE40" s="56">
        <v>773</v>
      </c>
    </row>
    <row r="41" spans="2:34" x14ac:dyDescent="0.25">
      <c r="C41" s="63">
        <v>5</v>
      </c>
      <c r="D41" s="56" t="s">
        <v>59</v>
      </c>
      <c r="E41" s="56" t="s">
        <v>58</v>
      </c>
      <c r="F41" s="56">
        <v>656</v>
      </c>
      <c r="G41" s="21"/>
      <c r="H41" s="60"/>
      <c r="AC41" s="67" t="s">
        <v>77</v>
      </c>
      <c r="AD41" s="67" t="s">
        <v>52</v>
      </c>
      <c r="AE41" s="67">
        <v>762</v>
      </c>
    </row>
    <row r="42" spans="2:34" x14ac:dyDescent="0.25">
      <c r="C42" s="63">
        <v>6</v>
      </c>
      <c r="D42" s="56" t="s">
        <v>57</v>
      </c>
      <c r="E42" s="56" t="s">
        <v>58</v>
      </c>
      <c r="F42" s="56">
        <v>644</v>
      </c>
      <c r="G42" s="21"/>
      <c r="H42" s="60"/>
      <c r="AC42" s="56" t="s">
        <v>110</v>
      </c>
      <c r="AD42" s="56" t="s">
        <v>68</v>
      </c>
      <c r="AE42" s="56">
        <v>677</v>
      </c>
    </row>
    <row r="43" spans="2:34" x14ac:dyDescent="0.25">
      <c r="C43" s="63">
        <v>7</v>
      </c>
      <c r="D43" s="56" t="s">
        <v>86</v>
      </c>
      <c r="E43" s="56" t="s">
        <v>49</v>
      </c>
      <c r="F43" s="56">
        <v>635</v>
      </c>
      <c r="G43" s="21"/>
      <c r="H43" s="60"/>
      <c r="AC43" s="56" t="s">
        <v>59</v>
      </c>
      <c r="AD43" s="56" t="s">
        <v>58</v>
      </c>
      <c r="AE43" s="56">
        <v>656</v>
      </c>
    </row>
    <row r="44" spans="2:34" x14ac:dyDescent="0.25">
      <c r="C44" s="63">
        <v>8</v>
      </c>
      <c r="D44" s="56" t="s">
        <v>56</v>
      </c>
      <c r="E44" s="56" t="s">
        <v>52</v>
      </c>
      <c r="F44" s="56">
        <v>611</v>
      </c>
      <c r="G44" s="21"/>
      <c r="H44" s="60"/>
      <c r="AC44" s="56" t="s">
        <v>57</v>
      </c>
      <c r="AD44" s="56" t="s">
        <v>58</v>
      </c>
      <c r="AE44" s="56">
        <v>644</v>
      </c>
    </row>
    <row r="45" spans="2:34" x14ac:dyDescent="0.25">
      <c r="C45" s="63">
        <v>9</v>
      </c>
      <c r="D45" s="56" t="s">
        <v>80</v>
      </c>
      <c r="E45" s="56" t="s">
        <v>52</v>
      </c>
      <c r="F45" s="56">
        <v>603</v>
      </c>
      <c r="G45" s="21"/>
      <c r="H45" s="60"/>
      <c r="AC45" s="56" t="s">
        <v>86</v>
      </c>
      <c r="AD45" s="56" t="s">
        <v>49</v>
      </c>
      <c r="AE45" s="56">
        <v>635</v>
      </c>
    </row>
    <row r="46" spans="2:34" x14ac:dyDescent="0.25">
      <c r="C46" s="63">
        <v>10</v>
      </c>
      <c r="D46" s="56" t="s">
        <v>60</v>
      </c>
      <c r="E46" s="56" t="s">
        <v>58</v>
      </c>
      <c r="F46" s="56">
        <v>595</v>
      </c>
      <c r="G46" s="21"/>
      <c r="H46" s="60"/>
      <c r="AC46" s="56" t="s">
        <v>56</v>
      </c>
      <c r="AD46" s="56" t="s">
        <v>52</v>
      </c>
      <c r="AE46" s="56">
        <v>611</v>
      </c>
    </row>
    <row r="47" spans="2:34" x14ac:dyDescent="0.25">
      <c r="C47" s="63">
        <v>11</v>
      </c>
      <c r="D47" s="56" t="s">
        <v>61</v>
      </c>
      <c r="E47" s="56" t="s">
        <v>62</v>
      </c>
      <c r="F47" s="56">
        <v>580</v>
      </c>
      <c r="G47" s="21"/>
      <c r="H47" s="60"/>
      <c r="AC47" s="67" t="s">
        <v>92</v>
      </c>
      <c r="AD47" s="67" t="s">
        <v>74</v>
      </c>
      <c r="AE47" s="67">
        <v>560</v>
      </c>
    </row>
    <row r="48" spans="2:34" x14ac:dyDescent="0.25">
      <c r="C48" s="35"/>
      <c r="D48" s="32" t="s">
        <v>64</v>
      </c>
      <c r="E48" s="32" t="s">
        <v>62</v>
      </c>
      <c r="F48" s="32">
        <v>573</v>
      </c>
      <c r="G48" s="21"/>
      <c r="H48" s="60"/>
    </row>
    <row r="49" spans="3:8" x14ac:dyDescent="0.25">
      <c r="C49" s="35"/>
      <c r="D49" s="32" t="s">
        <v>63</v>
      </c>
      <c r="E49" s="32" t="s">
        <v>62</v>
      </c>
      <c r="F49" s="32">
        <v>568</v>
      </c>
      <c r="G49" s="21"/>
      <c r="H49" s="60"/>
    </row>
    <row r="50" spans="3:8" x14ac:dyDescent="0.25">
      <c r="C50" s="35"/>
      <c r="D50" s="32" t="s">
        <v>79</v>
      </c>
      <c r="E50" s="32" t="s">
        <v>55</v>
      </c>
      <c r="F50" s="32">
        <v>561</v>
      </c>
      <c r="G50" s="21"/>
      <c r="H50" s="60"/>
    </row>
    <row r="51" spans="3:8" ht="15.75" thickBot="1" x14ac:dyDescent="0.3">
      <c r="C51" s="37"/>
      <c r="D51" s="38" t="s">
        <v>65</v>
      </c>
      <c r="E51" s="38" t="s">
        <v>66</v>
      </c>
      <c r="F51" s="38">
        <v>551</v>
      </c>
      <c r="G51" s="61"/>
      <c r="H51" s="62"/>
    </row>
  </sheetData>
  <sortState ref="B36:D57">
    <sortCondition descending="1" ref="D36:D57"/>
  </sortState>
  <mergeCells count="23">
    <mergeCell ref="G51:H51"/>
    <mergeCell ref="AC3:AG3"/>
    <mergeCell ref="AC6:AD6"/>
    <mergeCell ref="AC20:AD20"/>
    <mergeCell ref="AC35:AD35"/>
    <mergeCell ref="G45:H45"/>
    <mergeCell ref="G46:H46"/>
    <mergeCell ref="G47:H47"/>
    <mergeCell ref="G48:H48"/>
    <mergeCell ref="G49:H49"/>
    <mergeCell ref="G50:H50"/>
    <mergeCell ref="G39:H39"/>
    <mergeCell ref="G40:H40"/>
    <mergeCell ref="G41:H41"/>
    <mergeCell ref="G42:H42"/>
    <mergeCell ref="G43:H43"/>
    <mergeCell ref="G44:H44"/>
    <mergeCell ref="B1:C1"/>
    <mergeCell ref="W6:X6"/>
    <mergeCell ref="W20:X20"/>
    <mergeCell ref="G36:H36"/>
    <mergeCell ref="G37:H37"/>
    <mergeCell ref="G38:H3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X53"/>
  <sheetViews>
    <sheetView zoomScale="75" zoomScaleNormal="75" workbookViewId="0">
      <selection activeCell="S10" sqref="S10"/>
    </sheetView>
  </sheetViews>
  <sheetFormatPr defaultRowHeight="15" x14ac:dyDescent="0.25"/>
  <cols>
    <col min="2" max="2" width="17.85546875" bestFit="1" customWidth="1"/>
    <col min="3" max="3" width="23.85546875" bestFit="1" customWidth="1"/>
    <col min="4" max="4" width="17.85546875" bestFit="1" customWidth="1"/>
    <col min="5" max="5" width="23.85546875" bestFit="1" customWidth="1"/>
    <col min="6" max="6" width="8.5703125" bestFit="1" customWidth="1"/>
    <col min="15" max="15" width="24.7109375" bestFit="1" customWidth="1"/>
    <col min="21" max="21" width="19.42578125" bestFit="1" customWidth="1"/>
    <col min="22" max="22" width="11.140625" bestFit="1" customWidth="1"/>
    <col min="24" max="24" width="9.140625" style="80"/>
  </cols>
  <sheetData>
    <row r="1" spans="2:24" ht="18.75" x14ac:dyDescent="0.4">
      <c r="B1" s="46" t="s">
        <v>319</v>
      </c>
      <c r="C1" s="46"/>
    </row>
    <row r="3" spans="2:24" ht="18.75" x14ac:dyDescent="0.3">
      <c r="B3" s="74" t="s">
        <v>320</v>
      </c>
      <c r="C3" s="74"/>
      <c r="D3" s="74"/>
      <c r="E3" s="75"/>
      <c r="F3" s="75"/>
      <c r="G3" s="75"/>
    </row>
    <row r="4" spans="2:24" ht="18.75" x14ac:dyDescent="0.3">
      <c r="B4" s="1" t="s">
        <v>296</v>
      </c>
    </row>
    <row r="5" spans="2:24" ht="18.75" x14ac:dyDescent="0.3">
      <c r="B5" s="1"/>
    </row>
    <row r="6" spans="2:24" ht="18.75" x14ac:dyDescent="0.3">
      <c r="B6" s="47">
        <v>2020</v>
      </c>
      <c r="U6" s="48" t="s">
        <v>299</v>
      </c>
      <c r="V6" s="48"/>
    </row>
    <row r="7" spans="2:24" ht="18.75" x14ac:dyDescent="0.3">
      <c r="B7" s="31" t="s">
        <v>35</v>
      </c>
      <c r="C7" s="31" t="s">
        <v>36</v>
      </c>
      <c r="D7" s="31" t="s">
        <v>114</v>
      </c>
      <c r="E7" s="31" t="s">
        <v>115</v>
      </c>
      <c r="F7" s="31" t="s">
        <v>116</v>
      </c>
      <c r="G7" s="31" t="s">
        <v>40</v>
      </c>
      <c r="H7" s="31" t="s">
        <v>117</v>
      </c>
      <c r="I7" s="31" t="s">
        <v>44</v>
      </c>
      <c r="J7" s="31" t="s">
        <v>118</v>
      </c>
      <c r="K7" s="31" t="s">
        <v>119</v>
      </c>
      <c r="L7" s="31" t="s">
        <v>45</v>
      </c>
      <c r="M7" s="31" t="s">
        <v>120</v>
      </c>
      <c r="N7" s="31" t="s">
        <v>238</v>
      </c>
      <c r="O7" s="31" t="s">
        <v>237</v>
      </c>
      <c r="P7" s="31" t="s">
        <v>112</v>
      </c>
      <c r="R7" s="31" t="s">
        <v>310</v>
      </c>
      <c r="S7" s="31" t="s">
        <v>311</v>
      </c>
      <c r="U7" s="31" t="s">
        <v>35</v>
      </c>
      <c r="V7" s="31" t="s">
        <v>36</v>
      </c>
      <c r="W7" s="31" t="s">
        <v>321</v>
      </c>
      <c r="X7" s="81"/>
    </row>
    <row r="8" spans="2:24" x14ac:dyDescent="0.25">
      <c r="B8" s="32" t="s">
        <v>121</v>
      </c>
      <c r="C8" s="32" t="s">
        <v>122</v>
      </c>
      <c r="D8" s="32">
        <v>17</v>
      </c>
      <c r="E8" s="32">
        <v>65.400000000000006</v>
      </c>
      <c r="F8" s="32">
        <v>1</v>
      </c>
      <c r="G8" s="32">
        <v>548</v>
      </c>
      <c r="H8" s="32">
        <v>30</v>
      </c>
      <c r="I8" s="32">
        <v>18.27</v>
      </c>
      <c r="J8" s="32">
        <v>44675</v>
      </c>
      <c r="K8" s="32">
        <v>8.35</v>
      </c>
      <c r="L8" s="32">
        <v>13.13</v>
      </c>
      <c r="M8" s="32">
        <v>2</v>
      </c>
      <c r="N8" s="32">
        <f t="shared" ref="N8:N18" si="0">((H8*25)+(M8*8)+(F8*8))</f>
        <v>774</v>
      </c>
      <c r="O8" s="32" t="str">
        <f t="shared" ref="O8:O18" si="1">IF(K8&lt;4,6,IF(AND(K8&gt;=4,K8&lt;=4.99),4,IF(AND(K8&gt;=5,K8&lt;=6),2,IF(AND(K8&gt;=9,K8&lt;=10),-2,IF(AND(K8&gt;=10.01,K8&lt;=11),-4,IF(K8&gt;11,-6,"NA"))))))</f>
        <v>NA</v>
      </c>
      <c r="P8" s="32">
        <f t="shared" ref="P8:P18" si="2">IFERROR(N8+O8,N8)</f>
        <v>774</v>
      </c>
      <c r="R8" s="52" t="s">
        <v>297</v>
      </c>
      <c r="S8" s="52">
        <f>P8*2</f>
        <v>1548</v>
      </c>
      <c r="U8" s="32" t="s">
        <v>77</v>
      </c>
      <c r="V8" s="32" t="s">
        <v>52</v>
      </c>
      <c r="W8" s="32">
        <v>762</v>
      </c>
    </row>
    <row r="9" spans="2:24" x14ac:dyDescent="0.25">
      <c r="B9" s="32" t="s">
        <v>123</v>
      </c>
      <c r="C9" s="32" t="s">
        <v>124</v>
      </c>
      <c r="D9" s="32">
        <v>15</v>
      </c>
      <c r="E9" s="32">
        <v>60</v>
      </c>
      <c r="F9" s="32">
        <v>2</v>
      </c>
      <c r="G9" s="32">
        <v>404</v>
      </c>
      <c r="H9" s="32">
        <v>27</v>
      </c>
      <c r="I9" s="32">
        <v>14.96</v>
      </c>
      <c r="J9" s="32">
        <v>44665</v>
      </c>
      <c r="K9" s="32">
        <v>6.73</v>
      </c>
      <c r="L9" s="32">
        <v>13.33</v>
      </c>
      <c r="M9" s="32">
        <v>2</v>
      </c>
      <c r="N9" s="32">
        <f t="shared" si="0"/>
        <v>707</v>
      </c>
      <c r="O9" s="32" t="str">
        <f t="shared" si="1"/>
        <v>NA</v>
      </c>
      <c r="P9" s="32">
        <f t="shared" si="2"/>
        <v>707</v>
      </c>
      <c r="R9" s="52" t="s">
        <v>298</v>
      </c>
      <c r="S9" s="52">
        <f>P9*1.5</f>
        <v>1060.5</v>
      </c>
      <c r="U9" s="32" t="s">
        <v>92</v>
      </c>
      <c r="V9" s="32" t="s">
        <v>74</v>
      </c>
      <c r="W9" s="32">
        <v>560</v>
      </c>
    </row>
    <row r="10" spans="2:24" x14ac:dyDescent="0.25">
      <c r="B10" s="32" t="s">
        <v>125</v>
      </c>
      <c r="C10" s="32" t="s">
        <v>126</v>
      </c>
      <c r="D10" s="32">
        <v>15</v>
      </c>
      <c r="E10" s="32">
        <v>57.2</v>
      </c>
      <c r="F10" s="32">
        <v>3</v>
      </c>
      <c r="G10" s="32">
        <v>457</v>
      </c>
      <c r="H10" s="32">
        <v>25</v>
      </c>
      <c r="I10" s="32">
        <v>18.28</v>
      </c>
      <c r="J10" s="32">
        <v>44669</v>
      </c>
      <c r="K10" s="32">
        <v>7.97</v>
      </c>
      <c r="L10" s="32">
        <v>13.76</v>
      </c>
      <c r="M10" s="32">
        <v>1</v>
      </c>
      <c r="N10" s="32">
        <f t="shared" si="0"/>
        <v>657</v>
      </c>
      <c r="O10" s="32" t="str">
        <f t="shared" si="1"/>
        <v>NA</v>
      </c>
      <c r="P10" s="32">
        <f t="shared" si="2"/>
        <v>657</v>
      </c>
      <c r="R10" s="52" t="s">
        <v>112</v>
      </c>
      <c r="S10" s="54">
        <f>SUM(P10:P18)+S8+S9</f>
        <v>7066.5</v>
      </c>
      <c r="U10" s="32" t="s">
        <v>93</v>
      </c>
      <c r="V10" s="32" t="s">
        <v>66</v>
      </c>
      <c r="W10" s="32">
        <v>434</v>
      </c>
    </row>
    <row r="11" spans="2:24" x14ac:dyDescent="0.25">
      <c r="B11" s="32" t="s">
        <v>127</v>
      </c>
      <c r="C11" s="32" t="s">
        <v>128</v>
      </c>
      <c r="D11" s="32">
        <v>16</v>
      </c>
      <c r="E11" s="32">
        <v>61</v>
      </c>
      <c r="F11" s="32">
        <v>0</v>
      </c>
      <c r="G11" s="32">
        <v>512</v>
      </c>
      <c r="H11" s="32">
        <v>22</v>
      </c>
      <c r="I11" s="32">
        <v>23.27</v>
      </c>
      <c r="J11" s="32">
        <v>12114</v>
      </c>
      <c r="K11" s="32">
        <v>8.39</v>
      </c>
      <c r="L11" s="32">
        <v>16.64</v>
      </c>
      <c r="M11" s="32">
        <v>0</v>
      </c>
      <c r="N11" s="32">
        <f t="shared" si="0"/>
        <v>550</v>
      </c>
      <c r="O11" s="32" t="str">
        <f t="shared" si="1"/>
        <v>NA</v>
      </c>
      <c r="P11" s="32">
        <f t="shared" si="2"/>
        <v>550</v>
      </c>
      <c r="U11" s="32" t="s">
        <v>100</v>
      </c>
      <c r="V11" s="32" t="s">
        <v>66</v>
      </c>
      <c r="W11" s="32">
        <v>555</v>
      </c>
    </row>
    <row r="12" spans="2:24" x14ac:dyDescent="0.25">
      <c r="B12" s="32" t="s">
        <v>129</v>
      </c>
      <c r="C12" s="32" t="s">
        <v>130</v>
      </c>
      <c r="D12" s="32">
        <v>15</v>
      </c>
      <c r="E12" s="32">
        <v>57.1</v>
      </c>
      <c r="F12" s="32">
        <v>0</v>
      </c>
      <c r="G12" s="32">
        <v>405</v>
      </c>
      <c r="H12" s="32">
        <v>21</v>
      </c>
      <c r="I12" s="32">
        <v>19.29</v>
      </c>
      <c r="J12" s="32">
        <v>44638</v>
      </c>
      <c r="K12" s="32">
        <v>7.08</v>
      </c>
      <c r="L12" s="32">
        <v>16.329999999999998</v>
      </c>
      <c r="M12" s="32">
        <v>0</v>
      </c>
      <c r="N12" s="32">
        <f t="shared" si="0"/>
        <v>525</v>
      </c>
      <c r="O12" s="32" t="str">
        <f t="shared" si="1"/>
        <v>NA</v>
      </c>
      <c r="P12" s="32">
        <f t="shared" si="2"/>
        <v>525</v>
      </c>
      <c r="U12" s="32" t="s">
        <v>103</v>
      </c>
      <c r="V12" s="32" t="s">
        <v>68</v>
      </c>
      <c r="W12" s="32">
        <v>487</v>
      </c>
    </row>
    <row r="13" spans="2:24" x14ac:dyDescent="0.25">
      <c r="B13" s="32" t="s">
        <v>135</v>
      </c>
      <c r="C13" s="32" t="s">
        <v>136</v>
      </c>
      <c r="D13" s="32">
        <v>16</v>
      </c>
      <c r="E13" s="32">
        <v>64</v>
      </c>
      <c r="F13" s="32">
        <v>1</v>
      </c>
      <c r="G13" s="32">
        <v>344</v>
      </c>
      <c r="H13" s="32">
        <v>20</v>
      </c>
      <c r="I13" s="32">
        <v>17.2</v>
      </c>
      <c r="J13" s="32">
        <v>44627</v>
      </c>
      <c r="K13" s="32">
        <v>5.38</v>
      </c>
      <c r="L13" s="32">
        <v>19.2</v>
      </c>
      <c r="M13" s="32">
        <v>0</v>
      </c>
      <c r="N13" s="32">
        <f t="shared" si="0"/>
        <v>508</v>
      </c>
      <c r="O13" s="32">
        <f t="shared" si="1"/>
        <v>2</v>
      </c>
      <c r="P13" s="32">
        <f t="shared" si="2"/>
        <v>510</v>
      </c>
      <c r="U13" s="32" t="s">
        <v>108</v>
      </c>
      <c r="V13" s="32" t="s">
        <v>68</v>
      </c>
      <c r="W13" s="32">
        <v>280</v>
      </c>
    </row>
    <row r="14" spans="2:24" x14ac:dyDescent="0.25">
      <c r="B14" s="32" t="s">
        <v>131</v>
      </c>
      <c r="C14" s="32" t="s">
        <v>132</v>
      </c>
      <c r="D14" s="32">
        <v>14</v>
      </c>
      <c r="E14" s="32">
        <v>53.4</v>
      </c>
      <c r="F14" s="32">
        <v>0</v>
      </c>
      <c r="G14" s="32">
        <v>460</v>
      </c>
      <c r="H14" s="32">
        <v>20</v>
      </c>
      <c r="I14" s="32">
        <v>23</v>
      </c>
      <c r="J14" s="32">
        <v>44635</v>
      </c>
      <c r="K14" s="32">
        <v>8.57</v>
      </c>
      <c r="L14" s="32">
        <v>16.100000000000001</v>
      </c>
      <c r="M14" s="32">
        <v>0</v>
      </c>
      <c r="N14" s="32">
        <f t="shared" si="0"/>
        <v>500</v>
      </c>
      <c r="O14" s="32" t="str">
        <f t="shared" si="1"/>
        <v>NA</v>
      </c>
      <c r="P14" s="32">
        <f t="shared" si="2"/>
        <v>500</v>
      </c>
      <c r="U14" s="32" t="s">
        <v>109</v>
      </c>
      <c r="V14" s="32" t="s">
        <v>52</v>
      </c>
      <c r="W14" s="32">
        <v>364</v>
      </c>
    </row>
    <row r="15" spans="2:24" x14ac:dyDescent="0.25">
      <c r="B15" s="32" t="s">
        <v>133</v>
      </c>
      <c r="C15" s="32" t="s">
        <v>134</v>
      </c>
      <c r="D15" s="32">
        <v>14</v>
      </c>
      <c r="E15" s="32">
        <v>55.4</v>
      </c>
      <c r="F15" s="32">
        <v>0</v>
      </c>
      <c r="G15" s="32">
        <v>365</v>
      </c>
      <c r="H15" s="32">
        <v>20</v>
      </c>
      <c r="I15" s="32">
        <v>18.25</v>
      </c>
      <c r="J15" s="32">
        <v>44639</v>
      </c>
      <c r="K15" s="32">
        <v>6.56</v>
      </c>
      <c r="L15" s="32">
        <v>16.7</v>
      </c>
      <c r="M15" s="32">
        <v>0</v>
      </c>
      <c r="N15" s="32">
        <f t="shared" si="0"/>
        <v>500</v>
      </c>
      <c r="O15" s="32" t="str">
        <f t="shared" si="1"/>
        <v>NA</v>
      </c>
      <c r="P15" s="32">
        <f t="shared" si="2"/>
        <v>500</v>
      </c>
      <c r="U15" s="32" t="s">
        <v>110</v>
      </c>
      <c r="V15" s="32" t="s">
        <v>68</v>
      </c>
      <c r="W15" s="32">
        <v>292</v>
      </c>
    </row>
    <row r="16" spans="2:24" x14ac:dyDescent="0.25">
      <c r="B16" s="32" t="s">
        <v>137</v>
      </c>
      <c r="C16" s="32" t="s">
        <v>138</v>
      </c>
      <c r="D16" s="32">
        <v>13</v>
      </c>
      <c r="E16" s="32">
        <v>52</v>
      </c>
      <c r="F16" s="32">
        <v>0</v>
      </c>
      <c r="G16" s="32">
        <v>356</v>
      </c>
      <c r="H16" s="32">
        <v>17</v>
      </c>
      <c r="I16" s="32">
        <v>20.94</v>
      </c>
      <c r="J16" s="32">
        <v>44701</v>
      </c>
      <c r="K16" s="32">
        <v>6.85</v>
      </c>
      <c r="L16" s="32">
        <v>18.350000000000001</v>
      </c>
      <c r="M16" s="32">
        <v>1</v>
      </c>
      <c r="N16" s="32">
        <f t="shared" si="0"/>
        <v>433</v>
      </c>
      <c r="O16" s="32" t="str">
        <f t="shared" si="1"/>
        <v>NA</v>
      </c>
      <c r="P16" s="32">
        <f t="shared" si="2"/>
        <v>433</v>
      </c>
    </row>
    <row r="17" spans="2:24" x14ac:dyDescent="0.25">
      <c r="B17" s="32" t="s">
        <v>139</v>
      </c>
      <c r="C17" s="32" t="s">
        <v>140</v>
      </c>
      <c r="D17" s="32">
        <v>16</v>
      </c>
      <c r="E17" s="32">
        <v>62.5</v>
      </c>
      <c r="F17" s="32">
        <v>1</v>
      </c>
      <c r="G17" s="32">
        <v>504</v>
      </c>
      <c r="H17" s="32">
        <v>16</v>
      </c>
      <c r="I17" s="32">
        <v>31.5</v>
      </c>
      <c r="J17" s="32">
        <v>44616</v>
      </c>
      <c r="K17" s="32">
        <v>8.02</v>
      </c>
      <c r="L17" s="32">
        <v>23.56</v>
      </c>
      <c r="M17" s="32">
        <v>0</v>
      </c>
      <c r="N17" s="32">
        <f t="shared" si="0"/>
        <v>408</v>
      </c>
      <c r="O17" s="32" t="str">
        <f t="shared" si="1"/>
        <v>NA</v>
      </c>
      <c r="P17" s="32">
        <f t="shared" si="2"/>
        <v>408</v>
      </c>
    </row>
    <row r="18" spans="2:24" x14ac:dyDescent="0.25">
      <c r="B18" s="32" t="s">
        <v>141</v>
      </c>
      <c r="C18" s="32" t="s">
        <v>142</v>
      </c>
      <c r="D18" s="32">
        <v>15</v>
      </c>
      <c r="E18" s="32">
        <v>53</v>
      </c>
      <c r="F18" s="32">
        <v>0</v>
      </c>
      <c r="G18" s="32">
        <v>433</v>
      </c>
      <c r="H18" s="32">
        <v>15</v>
      </c>
      <c r="I18" s="32">
        <v>28.87</v>
      </c>
      <c r="J18" s="32">
        <v>44610</v>
      </c>
      <c r="K18" s="32">
        <v>8.17</v>
      </c>
      <c r="L18" s="32">
        <v>21.2</v>
      </c>
      <c r="M18" s="32">
        <v>0</v>
      </c>
      <c r="N18" s="32">
        <f t="shared" si="0"/>
        <v>375</v>
      </c>
      <c r="O18" s="32" t="str">
        <f t="shared" si="1"/>
        <v>NA</v>
      </c>
      <c r="P18" s="32">
        <f t="shared" si="2"/>
        <v>375</v>
      </c>
    </row>
    <row r="20" spans="2:24" ht="18.75" x14ac:dyDescent="0.3">
      <c r="B20" s="49">
        <v>2019</v>
      </c>
      <c r="U20" s="50" t="s">
        <v>300</v>
      </c>
      <c r="V20" s="50"/>
    </row>
    <row r="21" spans="2:24" ht="18.75" x14ac:dyDescent="0.3">
      <c r="B21" s="31" t="s">
        <v>35</v>
      </c>
      <c r="C21" s="31" t="s">
        <v>36</v>
      </c>
      <c r="D21" s="31" t="s">
        <v>114</v>
      </c>
      <c r="E21" s="31" t="s">
        <v>115</v>
      </c>
      <c r="F21" s="31" t="s">
        <v>116</v>
      </c>
      <c r="G21" s="31" t="s">
        <v>40</v>
      </c>
      <c r="H21" s="31" t="s">
        <v>117</v>
      </c>
      <c r="I21" s="31" t="s">
        <v>44</v>
      </c>
      <c r="J21" s="31" t="s">
        <v>118</v>
      </c>
      <c r="K21" s="31" t="s">
        <v>119</v>
      </c>
      <c r="L21" s="31" t="s">
        <v>45</v>
      </c>
      <c r="M21" s="31" t="s">
        <v>120</v>
      </c>
      <c r="N21" s="31" t="s">
        <v>238</v>
      </c>
      <c r="O21" s="31" t="s">
        <v>292</v>
      </c>
      <c r="P21" s="31" t="s">
        <v>112</v>
      </c>
      <c r="R21" s="31" t="s">
        <v>310</v>
      </c>
      <c r="S21" s="31" t="s">
        <v>311</v>
      </c>
      <c r="U21" s="31" t="s">
        <v>35</v>
      </c>
      <c r="V21" s="31" t="s">
        <v>36</v>
      </c>
      <c r="W21" s="31" t="s">
        <v>112</v>
      </c>
      <c r="X21" s="81"/>
    </row>
    <row r="22" spans="2:24" x14ac:dyDescent="0.25">
      <c r="B22" s="32" t="s">
        <v>256</v>
      </c>
      <c r="C22" s="32" t="s">
        <v>257</v>
      </c>
      <c r="D22" s="32">
        <v>17</v>
      </c>
      <c r="E22" s="32">
        <v>64.2</v>
      </c>
      <c r="F22" s="32">
        <v>1</v>
      </c>
      <c r="G22" s="32">
        <v>431</v>
      </c>
      <c r="H22" s="32">
        <v>26</v>
      </c>
      <c r="I22" s="32">
        <v>16.579999999999998</v>
      </c>
      <c r="J22" s="32">
        <v>44663</v>
      </c>
      <c r="K22" s="32">
        <v>6.7</v>
      </c>
      <c r="L22" s="32">
        <v>14.85</v>
      </c>
      <c r="M22" s="32">
        <v>2</v>
      </c>
      <c r="N22" s="32">
        <f>((H22*25)+(M22*8)+(F22*8))</f>
        <v>674</v>
      </c>
      <c r="O22" s="32" t="str">
        <f>IF(K22&lt;4,6,IF(AND(K22&gt;=4,K22&lt;=4.99),4,IF(AND(K22&gt;=5,K22&lt;=6),2,IF(AND(K22&gt;=9,K22&lt;=10),-2,IF(AND(K22&gt;=10.01,K22&lt;=11),-4,IF(K22&gt;11,-6,"NA"))))))</f>
        <v>NA</v>
      </c>
      <c r="P22" s="32">
        <f>IFERROR(N22+O22,N22)</f>
        <v>674</v>
      </c>
      <c r="R22" s="53" t="s">
        <v>297</v>
      </c>
      <c r="S22" s="53">
        <f>P22*2</f>
        <v>1348</v>
      </c>
      <c r="U22" s="32" t="s">
        <v>110</v>
      </c>
      <c r="V22" s="32" t="s">
        <v>68</v>
      </c>
      <c r="W22" s="32">
        <v>950</v>
      </c>
    </row>
    <row r="23" spans="2:24" x14ac:dyDescent="0.25">
      <c r="B23" s="32" t="s">
        <v>121</v>
      </c>
      <c r="C23" s="32" t="s">
        <v>122</v>
      </c>
      <c r="D23" s="32">
        <v>12</v>
      </c>
      <c r="E23" s="32">
        <v>46</v>
      </c>
      <c r="F23" s="32">
        <v>0</v>
      </c>
      <c r="G23" s="32">
        <v>368</v>
      </c>
      <c r="H23" s="32">
        <v>25</v>
      </c>
      <c r="I23" s="32">
        <v>14.72</v>
      </c>
      <c r="J23" s="32">
        <v>44672</v>
      </c>
      <c r="K23" s="32">
        <v>7.83</v>
      </c>
      <c r="L23" s="32">
        <v>11.28</v>
      </c>
      <c r="M23" s="32">
        <v>2</v>
      </c>
      <c r="N23" s="32">
        <f t="shared" ref="N23:N32" si="3">((H23*25)+(M23*8)+(F23*8))</f>
        <v>641</v>
      </c>
      <c r="O23" s="32" t="str">
        <f t="shared" ref="O23:O32" si="4">IF(K23&lt;4,6,IF(AND(K23&gt;=4,K23&lt;=4.99),4,IF(AND(K23&gt;=5,K23&lt;=6),2,IF(AND(K23&gt;=9,K23&lt;=10),-2,IF(AND(K23&gt;=10.01,K23&lt;=11),-4,IF(K23&gt;11,-6,"NA"))))))</f>
        <v>NA</v>
      </c>
      <c r="P23" s="32">
        <f t="shared" ref="P23:P32" si="5">IFERROR(N23+O23,N23)</f>
        <v>641</v>
      </c>
      <c r="R23" s="53" t="s">
        <v>298</v>
      </c>
      <c r="S23" s="53">
        <f>P23*1.5</f>
        <v>961.5</v>
      </c>
      <c r="U23" s="32" t="s">
        <v>89</v>
      </c>
      <c r="V23" s="32" t="s">
        <v>58</v>
      </c>
      <c r="W23" s="32">
        <v>844</v>
      </c>
    </row>
    <row r="24" spans="2:24" x14ac:dyDescent="0.25">
      <c r="B24" s="32" t="s">
        <v>150</v>
      </c>
      <c r="C24" s="32" t="s">
        <v>151</v>
      </c>
      <c r="D24" s="32">
        <v>17</v>
      </c>
      <c r="E24" s="32">
        <v>64.3</v>
      </c>
      <c r="F24" s="32">
        <v>2</v>
      </c>
      <c r="G24" s="32">
        <v>482</v>
      </c>
      <c r="H24" s="32">
        <v>22</v>
      </c>
      <c r="I24" s="32">
        <v>21.91</v>
      </c>
      <c r="J24" s="32">
        <v>44640</v>
      </c>
      <c r="K24" s="32">
        <v>7.47</v>
      </c>
      <c r="L24" s="32">
        <v>17.59</v>
      </c>
      <c r="M24" s="32">
        <v>0</v>
      </c>
      <c r="N24" s="32">
        <f t="shared" si="3"/>
        <v>566</v>
      </c>
      <c r="O24" s="32" t="str">
        <f t="shared" si="4"/>
        <v>NA</v>
      </c>
      <c r="P24" s="32">
        <f t="shared" si="5"/>
        <v>566</v>
      </c>
      <c r="R24" s="53" t="s">
        <v>112</v>
      </c>
      <c r="S24" s="54">
        <f>SUM(P24:P32)+S22+S23</f>
        <v>6537.5</v>
      </c>
      <c r="U24" s="32" t="s">
        <v>93</v>
      </c>
      <c r="V24" s="32" t="s">
        <v>66</v>
      </c>
      <c r="W24" s="32">
        <v>504</v>
      </c>
    </row>
    <row r="25" spans="2:24" x14ac:dyDescent="0.25">
      <c r="B25" s="32" t="s">
        <v>164</v>
      </c>
      <c r="C25" s="32" t="s">
        <v>165</v>
      </c>
      <c r="D25" s="32">
        <v>14</v>
      </c>
      <c r="E25" s="32">
        <v>47</v>
      </c>
      <c r="F25" s="32">
        <v>1</v>
      </c>
      <c r="G25" s="32">
        <v>346</v>
      </c>
      <c r="H25" s="32">
        <v>20</v>
      </c>
      <c r="I25" s="32">
        <v>17.3</v>
      </c>
      <c r="J25" s="32">
        <v>44632</v>
      </c>
      <c r="K25" s="32">
        <v>7.36</v>
      </c>
      <c r="L25" s="32">
        <v>14.1</v>
      </c>
      <c r="M25" s="32">
        <v>0</v>
      </c>
      <c r="N25" s="32">
        <f t="shared" si="3"/>
        <v>508</v>
      </c>
      <c r="O25" s="32" t="str">
        <f t="shared" si="4"/>
        <v>NA</v>
      </c>
      <c r="P25" s="32">
        <f t="shared" si="5"/>
        <v>508</v>
      </c>
      <c r="U25" s="32" t="s">
        <v>249</v>
      </c>
      <c r="V25" s="32" t="s">
        <v>62</v>
      </c>
      <c r="W25" s="32">
        <v>436</v>
      </c>
    </row>
    <row r="26" spans="2:24" x14ac:dyDescent="0.25">
      <c r="B26" s="32" t="s">
        <v>182</v>
      </c>
      <c r="C26" s="32" t="s">
        <v>183</v>
      </c>
      <c r="D26" s="32">
        <v>9</v>
      </c>
      <c r="E26" s="32">
        <v>34.5</v>
      </c>
      <c r="F26" s="32">
        <v>0</v>
      </c>
      <c r="G26" s="32">
        <v>287</v>
      </c>
      <c r="H26" s="32">
        <v>19</v>
      </c>
      <c r="I26" s="32">
        <v>15.11</v>
      </c>
      <c r="J26" s="32">
        <v>44650</v>
      </c>
      <c r="K26" s="32">
        <v>8.24</v>
      </c>
      <c r="L26" s="32">
        <v>11</v>
      </c>
      <c r="M26" s="32">
        <v>0</v>
      </c>
      <c r="N26" s="32">
        <f t="shared" si="3"/>
        <v>475</v>
      </c>
      <c r="O26" s="32" t="str">
        <f t="shared" si="4"/>
        <v>NA</v>
      </c>
      <c r="P26" s="32">
        <f t="shared" si="5"/>
        <v>475</v>
      </c>
      <c r="U26" s="32" t="s">
        <v>87</v>
      </c>
      <c r="V26" s="32" t="s">
        <v>74</v>
      </c>
      <c r="W26" s="32">
        <v>283</v>
      </c>
    </row>
    <row r="27" spans="2:24" x14ac:dyDescent="0.25">
      <c r="B27" s="32" t="s">
        <v>131</v>
      </c>
      <c r="C27" s="32" t="s">
        <v>132</v>
      </c>
      <c r="D27" s="32">
        <v>14</v>
      </c>
      <c r="E27" s="32">
        <v>54</v>
      </c>
      <c r="F27" s="32">
        <v>0</v>
      </c>
      <c r="G27" s="32">
        <v>469</v>
      </c>
      <c r="H27" s="32">
        <v>19</v>
      </c>
      <c r="I27" s="32">
        <v>24.68</v>
      </c>
      <c r="J27" s="32">
        <v>44641</v>
      </c>
      <c r="K27" s="32">
        <v>8.69</v>
      </c>
      <c r="L27" s="32">
        <v>17.05</v>
      </c>
      <c r="M27" s="32">
        <v>0</v>
      </c>
      <c r="N27" s="32">
        <f t="shared" si="3"/>
        <v>475</v>
      </c>
      <c r="O27" s="32" t="str">
        <f t="shared" si="4"/>
        <v>NA</v>
      </c>
      <c r="P27" s="32">
        <f t="shared" si="5"/>
        <v>475</v>
      </c>
      <c r="U27" s="32" t="s">
        <v>255</v>
      </c>
      <c r="V27" s="32" t="s">
        <v>55</v>
      </c>
      <c r="W27" s="32">
        <v>345</v>
      </c>
    </row>
    <row r="28" spans="2:24" x14ac:dyDescent="0.25">
      <c r="B28" s="32" t="s">
        <v>123</v>
      </c>
      <c r="C28" s="32" t="s">
        <v>124</v>
      </c>
      <c r="D28" s="32">
        <v>16</v>
      </c>
      <c r="E28" s="32">
        <v>61.4</v>
      </c>
      <c r="F28" s="32">
        <v>1</v>
      </c>
      <c r="G28" s="32">
        <v>409</v>
      </c>
      <c r="H28" s="32">
        <v>19</v>
      </c>
      <c r="I28" s="32">
        <v>21.53</v>
      </c>
      <c r="J28" s="32">
        <v>44640</v>
      </c>
      <c r="K28" s="32">
        <v>6.63</v>
      </c>
      <c r="L28" s="32">
        <v>19.47</v>
      </c>
      <c r="M28" s="32">
        <v>0</v>
      </c>
      <c r="N28" s="32">
        <f t="shared" si="3"/>
        <v>483</v>
      </c>
      <c r="O28" s="32" t="str">
        <f t="shared" si="4"/>
        <v>NA</v>
      </c>
      <c r="P28" s="32">
        <f t="shared" si="5"/>
        <v>483</v>
      </c>
    </row>
    <row r="29" spans="2:24" x14ac:dyDescent="0.25">
      <c r="B29" s="32" t="s">
        <v>129</v>
      </c>
      <c r="C29" s="32" t="s">
        <v>130</v>
      </c>
      <c r="D29" s="32">
        <v>14</v>
      </c>
      <c r="E29" s="32">
        <v>49.2</v>
      </c>
      <c r="F29" s="32">
        <v>1</v>
      </c>
      <c r="G29" s="32">
        <v>386</v>
      </c>
      <c r="H29" s="32">
        <v>18</v>
      </c>
      <c r="I29" s="32">
        <v>21.44</v>
      </c>
      <c r="J29" s="32">
        <v>13971</v>
      </c>
      <c r="K29" s="32">
        <v>7.82</v>
      </c>
      <c r="L29" s="32">
        <v>16.440000000000001</v>
      </c>
      <c r="M29" s="32">
        <v>1</v>
      </c>
      <c r="N29" s="32">
        <f t="shared" si="3"/>
        <v>466</v>
      </c>
      <c r="O29" s="32" t="str">
        <f t="shared" si="4"/>
        <v>NA</v>
      </c>
      <c r="P29" s="32">
        <f t="shared" si="5"/>
        <v>466</v>
      </c>
    </row>
    <row r="30" spans="2:24" x14ac:dyDescent="0.25">
      <c r="B30" s="32" t="s">
        <v>135</v>
      </c>
      <c r="C30" s="32" t="s">
        <v>136</v>
      </c>
      <c r="D30" s="32">
        <v>15</v>
      </c>
      <c r="E30" s="32">
        <v>60</v>
      </c>
      <c r="F30" s="32">
        <v>1</v>
      </c>
      <c r="G30" s="32">
        <v>377</v>
      </c>
      <c r="H30" s="32">
        <v>17</v>
      </c>
      <c r="I30" s="32">
        <v>22.18</v>
      </c>
      <c r="J30" s="32">
        <v>44641</v>
      </c>
      <c r="K30" s="32">
        <v>6.28</v>
      </c>
      <c r="L30" s="32">
        <v>21.18</v>
      </c>
      <c r="M30" s="32">
        <v>0</v>
      </c>
      <c r="N30" s="32">
        <f t="shared" si="3"/>
        <v>433</v>
      </c>
      <c r="O30" s="32" t="str">
        <f t="shared" si="4"/>
        <v>NA</v>
      </c>
      <c r="P30" s="32">
        <f t="shared" si="5"/>
        <v>433</v>
      </c>
    </row>
    <row r="31" spans="2:24" x14ac:dyDescent="0.25">
      <c r="B31" s="32" t="s">
        <v>258</v>
      </c>
      <c r="C31" s="32" t="s">
        <v>259</v>
      </c>
      <c r="D31" s="32">
        <v>11</v>
      </c>
      <c r="E31" s="32">
        <v>44</v>
      </c>
      <c r="F31" s="32">
        <v>1</v>
      </c>
      <c r="G31" s="32">
        <v>312</v>
      </c>
      <c r="H31" s="32">
        <v>16</v>
      </c>
      <c r="I31" s="32">
        <v>19.5</v>
      </c>
      <c r="J31" s="32">
        <v>44640</v>
      </c>
      <c r="K31" s="32">
        <v>7.09</v>
      </c>
      <c r="L31" s="32">
        <v>16.5</v>
      </c>
      <c r="M31" s="32">
        <v>0</v>
      </c>
      <c r="N31" s="32">
        <f t="shared" si="3"/>
        <v>408</v>
      </c>
      <c r="O31" s="32" t="str">
        <f t="shared" si="4"/>
        <v>NA</v>
      </c>
      <c r="P31" s="32">
        <f t="shared" si="5"/>
        <v>408</v>
      </c>
    </row>
    <row r="32" spans="2:24" x14ac:dyDescent="0.25">
      <c r="B32" s="32" t="s">
        <v>260</v>
      </c>
      <c r="C32" s="32" t="s">
        <v>124</v>
      </c>
      <c r="D32" s="32">
        <v>12</v>
      </c>
      <c r="E32" s="32">
        <v>44.5</v>
      </c>
      <c r="F32" s="32">
        <v>0</v>
      </c>
      <c r="G32" s="32">
        <v>438</v>
      </c>
      <c r="H32" s="32">
        <v>16</v>
      </c>
      <c r="I32" s="32">
        <v>27.38</v>
      </c>
      <c r="J32" s="32">
        <v>11414</v>
      </c>
      <c r="K32" s="32">
        <v>9.77</v>
      </c>
      <c r="L32" s="32">
        <v>16.809999999999999</v>
      </c>
      <c r="M32" s="32">
        <v>2</v>
      </c>
      <c r="N32" s="32">
        <f t="shared" si="3"/>
        <v>416</v>
      </c>
      <c r="O32" s="32">
        <f t="shared" si="4"/>
        <v>-2</v>
      </c>
      <c r="P32" s="32">
        <f t="shared" si="5"/>
        <v>414</v>
      </c>
    </row>
    <row r="35" spans="2:9" ht="15.75" thickBot="1" x14ac:dyDescent="0.3"/>
    <row r="36" spans="2:9" ht="18.75" x14ac:dyDescent="0.3">
      <c r="B36" s="1" t="s">
        <v>312</v>
      </c>
      <c r="C36" s="57" t="s">
        <v>309</v>
      </c>
      <c r="D36" s="58" t="s">
        <v>35</v>
      </c>
      <c r="E36" s="58" t="s">
        <v>36</v>
      </c>
      <c r="F36" s="59" t="s">
        <v>112</v>
      </c>
      <c r="G36" s="76"/>
      <c r="H36" s="31" t="s">
        <v>310</v>
      </c>
      <c r="I36" s="31" t="s">
        <v>311</v>
      </c>
    </row>
    <row r="37" spans="2:9" x14ac:dyDescent="0.25">
      <c r="C37" s="63">
        <v>1</v>
      </c>
      <c r="D37" s="56" t="s">
        <v>121</v>
      </c>
      <c r="E37" s="56" t="s">
        <v>122</v>
      </c>
      <c r="F37" s="77">
        <v>774</v>
      </c>
      <c r="H37" s="55" t="s">
        <v>297</v>
      </c>
      <c r="I37" s="55">
        <f>F37*2</f>
        <v>1548</v>
      </c>
    </row>
    <row r="38" spans="2:9" x14ac:dyDescent="0.25">
      <c r="C38" s="63">
        <v>2</v>
      </c>
      <c r="D38" s="56" t="s">
        <v>123</v>
      </c>
      <c r="E38" s="56" t="s">
        <v>124</v>
      </c>
      <c r="F38" s="77">
        <v>707</v>
      </c>
      <c r="H38" s="55" t="s">
        <v>298</v>
      </c>
      <c r="I38" s="55">
        <f>F38*1.5</f>
        <v>1060.5</v>
      </c>
    </row>
    <row r="39" spans="2:9" x14ac:dyDescent="0.25">
      <c r="C39" s="63">
        <v>3</v>
      </c>
      <c r="D39" s="56" t="s">
        <v>256</v>
      </c>
      <c r="E39" s="56" t="s">
        <v>257</v>
      </c>
      <c r="F39" s="77">
        <v>674</v>
      </c>
      <c r="H39" s="55" t="s">
        <v>112</v>
      </c>
      <c r="I39" s="54">
        <f>SUM(F39:F47)+I37+I38</f>
        <v>7598.5</v>
      </c>
    </row>
    <row r="40" spans="2:9" x14ac:dyDescent="0.25">
      <c r="C40" s="63">
        <v>4</v>
      </c>
      <c r="D40" s="56" t="s">
        <v>125</v>
      </c>
      <c r="E40" s="56" t="s">
        <v>126</v>
      </c>
      <c r="F40" s="77">
        <v>657</v>
      </c>
    </row>
    <row r="41" spans="2:9" x14ac:dyDescent="0.25">
      <c r="C41" s="63">
        <v>5</v>
      </c>
      <c r="D41" s="56" t="s">
        <v>150</v>
      </c>
      <c r="E41" s="56" t="s">
        <v>151</v>
      </c>
      <c r="F41" s="77">
        <v>566</v>
      </c>
    </row>
    <row r="42" spans="2:9" x14ac:dyDescent="0.25">
      <c r="C42" s="63">
        <v>6</v>
      </c>
      <c r="D42" s="56" t="s">
        <v>127</v>
      </c>
      <c r="E42" s="56" t="s">
        <v>128</v>
      </c>
      <c r="F42" s="77">
        <v>550</v>
      </c>
    </row>
    <row r="43" spans="2:9" x14ac:dyDescent="0.25">
      <c r="C43" s="63">
        <v>7</v>
      </c>
      <c r="D43" s="56" t="s">
        <v>129</v>
      </c>
      <c r="E43" s="56" t="s">
        <v>130</v>
      </c>
      <c r="F43" s="77">
        <v>525</v>
      </c>
    </row>
    <row r="44" spans="2:9" x14ac:dyDescent="0.25">
      <c r="C44" s="63">
        <v>8</v>
      </c>
      <c r="D44" s="56" t="s">
        <v>135</v>
      </c>
      <c r="E44" s="56" t="s">
        <v>136</v>
      </c>
      <c r="F44" s="77">
        <v>510</v>
      </c>
    </row>
    <row r="45" spans="2:9" x14ac:dyDescent="0.25">
      <c r="C45" s="63">
        <v>9</v>
      </c>
      <c r="D45" s="56" t="s">
        <v>164</v>
      </c>
      <c r="E45" s="56" t="s">
        <v>165</v>
      </c>
      <c r="F45" s="77">
        <v>508</v>
      </c>
    </row>
    <row r="46" spans="2:9" x14ac:dyDescent="0.25">
      <c r="C46" s="63">
        <v>10</v>
      </c>
      <c r="D46" s="56" t="s">
        <v>131</v>
      </c>
      <c r="E46" s="56" t="s">
        <v>132</v>
      </c>
      <c r="F46" s="77">
        <v>500</v>
      </c>
    </row>
    <row r="47" spans="2:9" x14ac:dyDescent="0.25">
      <c r="C47" s="63">
        <v>11</v>
      </c>
      <c r="D47" s="56" t="s">
        <v>133</v>
      </c>
      <c r="E47" s="56" t="s">
        <v>134</v>
      </c>
      <c r="F47" s="77">
        <v>500</v>
      </c>
    </row>
    <row r="48" spans="2:9" x14ac:dyDescent="0.25">
      <c r="C48" s="35"/>
      <c r="D48" s="32" t="s">
        <v>182</v>
      </c>
      <c r="E48" s="32" t="s">
        <v>183</v>
      </c>
      <c r="F48" s="36">
        <v>475</v>
      </c>
    </row>
    <row r="49" spans="3:6" x14ac:dyDescent="0.25">
      <c r="C49" s="35"/>
      <c r="D49" s="32" t="s">
        <v>137</v>
      </c>
      <c r="E49" s="32" t="s">
        <v>138</v>
      </c>
      <c r="F49" s="36">
        <v>433</v>
      </c>
    </row>
    <row r="50" spans="3:6" x14ac:dyDescent="0.25">
      <c r="C50" s="35"/>
      <c r="D50" s="32" t="s">
        <v>260</v>
      </c>
      <c r="E50" s="32" t="s">
        <v>124</v>
      </c>
      <c r="F50" s="36">
        <v>414</v>
      </c>
    </row>
    <row r="51" spans="3:6" x14ac:dyDescent="0.25">
      <c r="C51" s="35"/>
      <c r="D51" s="32" t="s">
        <v>139</v>
      </c>
      <c r="E51" s="32" t="s">
        <v>140</v>
      </c>
      <c r="F51" s="36">
        <v>408</v>
      </c>
    </row>
    <row r="52" spans="3:6" x14ac:dyDescent="0.25">
      <c r="C52" s="35"/>
      <c r="D52" s="32" t="s">
        <v>258</v>
      </c>
      <c r="E52" s="32" t="s">
        <v>259</v>
      </c>
      <c r="F52" s="36">
        <v>408</v>
      </c>
    </row>
    <row r="53" spans="3:6" ht="15.75" thickBot="1" x14ac:dyDescent="0.3">
      <c r="C53" s="37"/>
      <c r="D53" s="38" t="s">
        <v>141</v>
      </c>
      <c r="E53" s="38" t="s">
        <v>142</v>
      </c>
      <c r="F53" s="39">
        <v>375</v>
      </c>
    </row>
  </sheetData>
  <sortState ref="B34:D55">
    <sortCondition descending="1" ref="D34:D55"/>
  </sortState>
  <mergeCells count="3">
    <mergeCell ref="B1:C1"/>
    <mergeCell ref="U6:V6"/>
    <mergeCell ref="U20:V2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U45"/>
  <sheetViews>
    <sheetView topLeftCell="A7" workbookViewId="0">
      <selection activeCell="P3" sqref="P3:R5"/>
    </sheetView>
  </sheetViews>
  <sheetFormatPr defaultRowHeight="15" x14ac:dyDescent="0.25"/>
  <cols>
    <col min="2" max="2" width="12" bestFit="1" customWidth="1"/>
    <col min="3" max="3" width="10.5703125" bestFit="1" customWidth="1"/>
    <col min="4" max="4" width="17.85546875" bestFit="1" customWidth="1"/>
    <col min="6" max="6" width="11.140625" bestFit="1" customWidth="1"/>
    <col min="9" max="9" width="17.85546875" bestFit="1" customWidth="1"/>
    <col min="10" max="10" width="23.85546875" bestFit="1" customWidth="1"/>
    <col min="11" max="11" width="17.85546875" bestFit="1" customWidth="1"/>
    <col min="13" max="13" width="11.140625" bestFit="1" customWidth="1"/>
    <col min="14" max="14" width="9" bestFit="1" customWidth="1"/>
    <col min="16" max="16" width="12" bestFit="1" customWidth="1"/>
    <col min="17" max="17" width="10.5703125" bestFit="1" customWidth="1"/>
    <col min="18" max="18" width="17.85546875" bestFit="1" customWidth="1"/>
    <col min="20" max="20" width="11.140625" bestFit="1" customWidth="1"/>
    <col min="21" max="21" width="9" bestFit="1" customWidth="1"/>
  </cols>
  <sheetData>
    <row r="1" spans="2:21" ht="18.75" x14ac:dyDescent="0.4">
      <c r="B1" s="46" t="s">
        <v>332</v>
      </c>
      <c r="C1" s="46"/>
    </row>
    <row r="3" spans="2:21" ht="18.75" x14ac:dyDescent="0.3">
      <c r="B3" s="87" t="s">
        <v>330</v>
      </c>
      <c r="C3" s="87"/>
      <c r="D3" s="87"/>
      <c r="E3" s="87"/>
      <c r="F3" s="88"/>
      <c r="G3" s="88"/>
      <c r="P3" s="87" t="s">
        <v>331</v>
      </c>
      <c r="Q3" s="87"/>
      <c r="R3" s="87"/>
      <c r="S3" s="88"/>
      <c r="T3" s="88"/>
      <c r="U3" s="88"/>
    </row>
    <row r="4" spans="2:21" ht="18.75" x14ac:dyDescent="0.3">
      <c r="B4" s="1" t="s">
        <v>329</v>
      </c>
    </row>
    <row r="5" spans="2:21" ht="18.75" x14ac:dyDescent="0.3">
      <c r="B5" s="1"/>
      <c r="P5" s="66" t="s">
        <v>314</v>
      </c>
      <c r="Q5" s="66"/>
    </row>
    <row r="6" spans="2:21" ht="18.75" x14ac:dyDescent="0.3">
      <c r="B6" s="87" t="s">
        <v>35</v>
      </c>
      <c r="C6" s="87" t="s">
        <v>36</v>
      </c>
      <c r="D6" s="87" t="s">
        <v>294</v>
      </c>
      <c r="F6" s="31" t="s">
        <v>310</v>
      </c>
      <c r="G6" s="31" t="s">
        <v>311</v>
      </c>
      <c r="I6" s="87" t="s">
        <v>35</v>
      </c>
      <c r="J6" s="87" t="s">
        <v>36</v>
      </c>
      <c r="K6" s="87" t="s">
        <v>294</v>
      </c>
      <c r="M6" s="31" t="s">
        <v>310</v>
      </c>
      <c r="N6" s="31" t="s">
        <v>311</v>
      </c>
      <c r="P6" s="31" t="s">
        <v>35</v>
      </c>
      <c r="Q6" s="31" t="s">
        <v>36</v>
      </c>
      <c r="R6" s="31" t="s">
        <v>294</v>
      </c>
      <c r="T6" s="31" t="s">
        <v>310</v>
      </c>
      <c r="U6" s="31" t="s">
        <v>311</v>
      </c>
    </row>
    <row r="7" spans="2:21" x14ac:dyDescent="0.25">
      <c r="B7" s="69" t="s">
        <v>54</v>
      </c>
      <c r="C7" s="69" t="s">
        <v>55</v>
      </c>
      <c r="D7" s="69">
        <v>871</v>
      </c>
      <c r="F7" s="53" t="s">
        <v>297</v>
      </c>
      <c r="G7" s="53">
        <f>D7*2</f>
        <v>1742</v>
      </c>
      <c r="I7" s="69" t="s">
        <v>121</v>
      </c>
      <c r="J7" s="69" t="s">
        <v>122</v>
      </c>
      <c r="K7" s="69">
        <v>774</v>
      </c>
      <c r="M7" s="52" t="s">
        <v>297</v>
      </c>
      <c r="N7" s="52">
        <f>K7*2</f>
        <v>1548</v>
      </c>
      <c r="P7" s="56" t="s">
        <v>54</v>
      </c>
      <c r="Q7" s="56" t="s">
        <v>55</v>
      </c>
      <c r="R7" s="56">
        <v>871</v>
      </c>
      <c r="T7" s="52" t="s">
        <v>297</v>
      </c>
      <c r="U7" s="52">
        <f>R7*2</f>
        <v>1742</v>
      </c>
    </row>
    <row r="8" spans="2:21" x14ac:dyDescent="0.25">
      <c r="B8" s="69" t="s">
        <v>48</v>
      </c>
      <c r="C8" s="69" t="s">
        <v>49</v>
      </c>
      <c r="D8" s="69">
        <v>830</v>
      </c>
      <c r="F8" s="53" t="s">
        <v>298</v>
      </c>
      <c r="G8" s="53">
        <f>D8*1.5</f>
        <v>1245</v>
      </c>
      <c r="I8" s="69" t="s">
        <v>123</v>
      </c>
      <c r="J8" s="69" t="s">
        <v>124</v>
      </c>
      <c r="K8" s="69">
        <v>707</v>
      </c>
      <c r="M8" s="52" t="s">
        <v>298</v>
      </c>
      <c r="N8" s="52">
        <f>K8*1.5</f>
        <v>1060.5</v>
      </c>
      <c r="P8" s="67" t="s">
        <v>89</v>
      </c>
      <c r="Q8" s="67" t="s">
        <v>58</v>
      </c>
      <c r="R8" s="67">
        <v>844</v>
      </c>
      <c r="T8" s="52" t="s">
        <v>298</v>
      </c>
      <c r="U8" s="52">
        <f>R8*1.5</f>
        <v>1266</v>
      </c>
    </row>
    <row r="9" spans="2:21" x14ac:dyDescent="0.25">
      <c r="B9" s="69" t="s">
        <v>51</v>
      </c>
      <c r="C9" s="69" t="s">
        <v>52</v>
      </c>
      <c r="D9" s="69">
        <v>773</v>
      </c>
      <c r="F9" s="53" t="s">
        <v>112</v>
      </c>
      <c r="G9" s="54">
        <f>SUM(D9:D17)+G7+G8</f>
        <v>8761</v>
      </c>
      <c r="I9" s="69" t="s">
        <v>256</v>
      </c>
      <c r="J9" s="69" t="s">
        <v>257</v>
      </c>
      <c r="K9" s="69">
        <v>674</v>
      </c>
      <c r="M9" s="52" t="s">
        <v>112</v>
      </c>
      <c r="N9" s="54">
        <f>SUM(K9:K17)+N7+N8</f>
        <v>7598.5</v>
      </c>
      <c r="P9" s="56" t="s">
        <v>48</v>
      </c>
      <c r="Q9" s="56" t="s">
        <v>49</v>
      </c>
      <c r="R9" s="56">
        <v>830</v>
      </c>
      <c r="T9" s="52" t="s">
        <v>112</v>
      </c>
      <c r="U9" s="54">
        <f>SUM(R9:R17)+U7+U8</f>
        <v>9505</v>
      </c>
    </row>
    <row r="10" spans="2:21" ht="18.75" x14ac:dyDescent="0.3">
      <c r="B10" s="69" t="s">
        <v>110</v>
      </c>
      <c r="C10" s="69" t="s">
        <v>68</v>
      </c>
      <c r="D10" s="69">
        <v>677</v>
      </c>
      <c r="F10" s="1"/>
      <c r="I10" s="69" t="s">
        <v>125</v>
      </c>
      <c r="J10" s="69" t="s">
        <v>126</v>
      </c>
      <c r="K10" s="69">
        <v>657</v>
      </c>
      <c r="P10" s="70" t="s">
        <v>121</v>
      </c>
      <c r="Q10" s="70" t="s">
        <v>122</v>
      </c>
      <c r="R10" s="70">
        <v>774</v>
      </c>
    </row>
    <row r="11" spans="2:21" x14ac:dyDescent="0.25">
      <c r="B11" s="69" t="s">
        <v>59</v>
      </c>
      <c r="C11" s="69" t="s">
        <v>58</v>
      </c>
      <c r="D11" s="69">
        <v>656</v>
      </c>
      <c r="I11" s="69" t="s">
        <v>150</v>
      </c>
      <c r="J11" s="69" t="s">
        <v>151</v>
      </c>
      <c r="K11" s="69">
        <v>566</v>
      </c>
      <c r="P11" s="56" t="s">
        <v>51</v>
      </c>
      <c r="Q11" s="56" t="s">
        <v>52</v>
      </c>
      <c r="R11" s="56">
        <v>773</v>
      </c>
    </row>
    <row r="12" spans="2:21" x14ac:dyDescent="0.25">
      <c r="B12" s="69" t="s">
        <v>57</v>
      </c>
      <c r="C12" s="69" t="s">
        <v>58</v>
      </c>
      <c r="D12" s="69">
        <v>644</v>
      </c>
      <c r="I12" s="69" t="s">
        <v>127</v>
      </c>
      <c r="J12" s="69" t="s">
        <v>128</v>
      </c>
      <c r="K12" s="69">
        <v>550</v>
      </c>
      <c r="P12" s="67" t="s">
        <v>77</v>
      </c>
      <c r="Q12" s="67" t="s">
        <v>52</v>
      </c>
      <c r="R12" s="67">
        <v>762</v>
      </c>
    </row>
    <row r="13" spans="2:21" x14ac:dyDescent="0.25">
      <c r="B13" s="69" t="s">
        <v>86</v>
      </c>
      <c r="C13" s="69" t="s">
        <v>49</v>
      </c>
      <c r="D13" s="69">
        <v>635</v>
      </c>
      <c r="I13" s="69" t="s">
        <v>129</v>
      </c>
      <c r="J13" s="69" t="s">
        <v>130</v>
      </c>
      <c r="K13" s="69">
        <v>525</v>
      </c>
      <c r="P13" s="70" t="s">
        <v>123</v>
      </c>
      <c r="Q13" s="70" t="s">
        <v>124</v>
      </c>
      <c r="R13" s="70">
        <v>707</v>
      </c>
    </row>
    <row r="14" spans="2:21" x14ac:dyDescent="0.25">
      <c r="B14" s="69" t="s">
        <v>56</v>
      </c>
      <c r="C14" s="69" t="s">
        <v>52</v>
      </c>
      <c r="D14" s="69">
        <v>611</v>
      </c>
      <c r="I14" s="69" t="s">
        <v>135</v>
      </c>
      <c r="J14" s="69" t="s">
        <v>136</v>
      </c>
      <c r="K14" s="69">
        <v>510</v>
      </c>
      <c r="P14" s="56" t="s">
        <v>110</v>
      </c>
      <c r="Q14" s="56" t="s">
        <v>68</v>
      </c>
      <c r="R14" s="56">
        <v>677</v>
      </c>
    </row>
    <row r="15" spans="2:21" x14ac:dyDescent="0.25">
      <c r="B15" s="69" t="s">
        <v>80</v>
      </c>
      <c r="C15" s="69" t="s">
        <v>52</v>
      </c>
      <c r="D15" s="69">
        <v>603</v>
      </c>
      <c r="I15" s="69" t="s">
        <v>164</v>
      </c>
      <c r="J15" s="69" t="s">
        <v>165</v>
      </c>
      <c r="K15" s="69">
        <v>508</v>
      </c>
      <c r="P15" s="70" t="s">
        <v>256</v>
      </c>
      <c r="Q15" s="70" t="s">
        <v>257</v>
      </c>
      <c r="R15" s="70">
        <v>674</v>
      </c>
    </row>
    <row r="16" spans="2:21" x14ac:dyDescent="0.25">
      <c r="B16" s="69" t="s">
        <v>60</v>
      </c>
      <c r="C16" s="69" t="s">
        <v>58</v>
      </c>
      <c r="D16" s="69">
        <v>595</v>
      </c>
      <c r="I16" s="69" t="s">
        <v>131</v>
      </c>
      <c r="J16" s="69" t="s">
        <v>132</v>
      </c>
      <c r="K16" s="69">
        <v>500</v>
      </c>
      <c r="P16" s="56" t="s">
        <v>59</v>
      </c>
      <c r="Q16" s="56" t="s">
        <v>58</v>
      </c>
      <c r="R16" s="56">
        <v>656</v>
      </c>
    </row>
    <row r="17" spans="2:21" x14ac:dyDescent="0.25">
      <c r="B17" s="69" t="s">
        <v>61</v>
      </c>
      <c r="C17" s="69" t="s">
        <v>62</v>
      </c>
      <c r="D17" s="69">
        <v>580</v>
      </c>
      <c r="I17" s="69" t="s">
        <v>133</v>
      </c>
      <c r="J17" s="69" t="s">
        <v>134</v>
      </c>
      <c r="K17" s="69">
        <v>500</v>
      </c>
      <c r="P17" s="56" t="s">
        <v>57</v>
      </c>
      <c r="Q17" s="56" t="s">
        <v>58</v>
      </c>
      <c r="R17" s="56">
        <v>644</v>
      </c>
    </row>
    <row r="19" spans="2:21" ht="18.75" x14ac:dyDescent="0.3">
      <c r="B19" s="1" t="s">
        <v>299</v>
      </c>
      <c r="I19" s="1" t="s">
        <v>301</v>
      </c>
      <c r="P19" s="66" t="s">
        <v>315</v>
      </c>
      <c r="Q19" s="66"/>
    </row>
    <row r="20" spans="2:21" ht="18.75" x14ac:dyDescent="0.3">
      <c r="B20" s="31" t="s">
        <v>35</v>
      </c>
      <c r="C20" s="31" t="s">
        <v>36</v>
      </c>
      <c r="D20" s="31" t="s">
        <v>294</v>
      </c>
      <c r="I20" s="31" t="s">
        <v>35</v>
      </c>
      <c r="J20" s="31" t="s">
        <v>36</v>
      </c>
      <c r="K20" s="31" t="s">
        <v>294</v>
      </c>
      <c r="P20" s="31" t="s">
        <v>35</v>
      </c>
      <c r="Q20" s="31" t="s">
        <v>36</v>
      </c>
      <c r="R20" s="31" t="s">
        <v>294</v>
      </c>
      <c r="T20" s="31" t="s">
        <v>310</v>
      </c>
      <c r="U20" s="31" t="s">
        <v>311</v>
      </c>
    </row>
    <row r="21" spans="2:21" x14ac:dyDescent="0.25">
      <c r="B21" s="32" t="s">
        <v>77</v>
      </c>
      <c r="C21" s="32" t="s">
        <v>52</v>
      </c>
      <c r="D21" s="32">
        <v>762</v>
      </c>
      <c r="I21" s="32" t="s">
        <v>110</v>
      </c>
      <c r="J21" s="32" t="s">
        <v>68</v>
      </c>
      <c r="K21" s="32">
        <v>950</v>
      </c>
      <c r="P21" s="56" t="s">
        <v>54</v>
      </c>
      <c r="Q21" s="56" t="s">
        <v>55</v>
      </c>
      <c r="R21" s="56">
        <v>871</v>
      </c>
      <c r="T21" s="52" t="s">
        <v>297</v>
      </c>
      <c r="U21" s="52">
        <f>R21*2</f>
        <v>1742</v>
      </c>
    </row>
    <row r="22" spans="2:21" x14ac:dyDescent="0.25">
      <c r="B22" s="32" t="s">
        <v>92</v>
      </c>
      <c r="C22" s="32" t="s">
        <v>74</v>
      </c>
      <c r="D22" s="32">
        <v>560</v>
      </c>
      <c r="I22" s="32" t="s">
        <v>89</v>
      </c>
      <c r="J22" s="32" t="s">
        <v>58</v>
      </c>
      <c r="K22" s="32">
        <v>844</v>
      </c>
      <c r="P22" s="67" t="s">
        <v>89</v>
      </c>
      <c r="Q22" s="67" t="s">
        <v>58</v>
      </c>
      <c r="R22" s="67">
        <v>844</v>
      </c>
      <c r="T22" s="52" t="s">
        <v>298</v>
      </c>
      <c r="U22" s="52">
        <f>R22*1.5</f>
        <v>1266</v>
      </c>
    </row>
    <row r="23" spans="2:21" x14ac:dyDescent="0.25">
      <c r="B23" s="32" t="s">
        <v>93</v>
      </c>
      <c r="C23" s="32" t="s">
        <v>66</v>
      </c>
      <c r="D23" s="32">
        <v>434</v>
      </c>
      <c r="I23" s="32" t="s">
        <v>77</v>
      </c>
      <c r="J23" s="32" t="s">
        <v>52</v>
      </c>
      <c r="K23" s="32">
        <v>762</v>
      </c>
      <c r="P23" s="56" t="s">
        <v>48</v>
      </c>
      <c r="Q23" s="56" t="s">
        <v>49</v>
      </c>
      <c r="R23" s="56">
        <v>830</v>
      </c>
      <c r="T23" s="52" t="s">
        <v>112</v>
      </c>
      <c r="U23" s="54">
        <f>SUM(R23:R31)+U21+U22</f>
        <v>9466</v>
      </c>
    </row>
    <row r="24" spans="2:21" x14ac:dyDescent="0.25">
      <c r="B24" s="32" t="s">
        <v>100</v>
      </c>
      <c r="C24" s="32" t="s">
        <v>66</v>
      </c>
      <c r="D24" s="32">
        <v>555</v>
      </c>
      <c r="I24" s="32" t="s">
        <v>92</v>
      </c>
      <c r="J24" s="32" t="s">
        <v>74</v>
      </c>
      <c r="K24" s="32">
        <v>560</v>
      </c>
      <c r="P24" s="70" t="s">
        <v>121</v>
      </c>
      <c r="Q24" s="70" t="s">
        <v>122</v>
      </c>
      <c r="R24" s="70">
        <v>774</v>
      </c>
    </row>
    <row r="25" spans="2:21" x14ac:dyDescent="0.25">
      <c r="B25" s="32" t="s">
        <v>103</v>
      </c>
      <c r="C25" s="32" t="s">
        <v>68</v>
      </c>
      <c r="D25" s="32">
        <v>487</v>
      </c>
      <c r="I25" s="32" t="s">
        <v>100</v>
      </c>
      <c r="J25" s="32" t="s">
        <v>66</v>
      </c>
      <c r="K25" s="32">
        <v>555</v>
      </c>
      <c r="P25" s="56" t="s">
        <v>51</v>
      </c>
      <c r="Q25" s="56" t="s">
        <v>52</v>
      </c>
      <c r="R25" s="56">
        <v>773</v>
      </c>
    </row>
    <row r="26" spans="2:21" x14ac:dyDescent="0.25">
      <c r="B26" s="32" t="s">
        <v>108</v>
      </c>
      <c r="C26" s="32" t="s">
        <v>68</v>
      </c>
      <c r="D26" s="32">
        <v>280</v>
      </c>
      <c r="I26" s="32" t="s">
        <v>93</v>
      </c>
      <c r="J26" s="32" t="s">
        <v>66</v>
      </c>
      <c r="K26" s="32">
        <v>504</v>
      </c>
      <c r="P26" s="67" t="s">
        <v>77</v>
      </c>
      <c r="Q26" s="67" t="s">
        <v>52</v>
      </c>
      <c r="R26" s="67">
        <v>762</v>
      </c>
    </row>
    <row r="27" spans="2:21" x14ac:dyDescent="0.25">
      <c r="B27" s="32" t="s">
        <v>109</v>
      </c>
      <c r="C27" s="32" t="s">
        <v>52</v>
      </c>
      <c r="D27" s="32">
        <v>364</v>
      </c>
      <c r="I27" s="32" t="s">
        <v>103</v>
      </c>
      <c r="J27" s="32" t="s">
        <v>68</v>
      </c>
      <c r="K27" s="32">
        <v>487</v>
      </c>
      <c r="P27" s="70" t="s">
        <v>123</v>
      </c>
      <c r="Q27" s="70" t="s">
        <v>124</v>
      </c>
      <c r="R27" s="70">
        <v>707</v>
      </c>
    </row>
    <row r="28" spans="2:21" x14ac:dyDescent="0.25">
      <c r="B28" s="32" t="s">
        <v>110</v>
      </c>
      <c r="C28" s="32" t="s">
        <v>68</v>
      </c>
      <c r="D28" s="32">
        <v>292</v>
      </c>
      <c r="I28" s="32" t="s">
        <v>249</v>
      </c>
      <c r="J28" s="32" t="s">
        <v>62</v>
      </c>
      <c r="K28" s="32">
        <v>436</v>
      </c>
      <c r="P28" s="56" t="s">
        <v>110</v>
      </c>
      <c r="Q28" s="56" t="s">
        <v>68</v>
      </c>
      <c r="R28" s="56">
        <v>677</v>
      </c>
    </row>
    <row r="29" spans="2:21" x14ac:dyDescent="0.25">
      <c r="I29" s="32" t="s">
        <v>93</v>
      </c>
      <c r="J29" s="32" t="s">
        <v>66</v>
      </c>
      <c r="K29" s="32">
        <v>434</v>
      </c>
      <c r="P29" s="56" t="s">
        <v>59</v>
      </c>
      <c r="Q29" s="56" t="s">
        <v>58</v>
      </c>
      <c r="R29" s="56">
        <v>656</v>
      </c>
    </row>
    <row r="30" spans="2:21" ht="18.75" x14ac:dyDescent="0.3">
      <c r="B30" s="1" t="s">
        <v>300</v>
      </c>
      <c r="I30" s="32" t="s">
        <v>109</v>
      </c>
      <c r="J30" s="32" t="s">
        <v>52</v>
      </c>
      <c r="K30" s="32">
        <v>364</v>
      </c>
      <c r="P30" s="56" t="s">
        <v>57</v>
      </c>
      <c r="Q30" s="56" t="s">
        <v>58</v>
      </c>
      <c r="R30" s="56">
        <v>644</v>
      </c>
    </row>
    <row r="31" spans="2:21" ht="18.75" x14ac:dyDescent="0.3">
      <c r="B31" s="31" t="s">
        <v>35</v>
      </c>
      <c r="C31" s="31" t="s">
        <v>36</v>
      </c>
      <c r="D31" s="31" t="s">
        <v>293</v>
      </c>
      <c r="I31" s="32" t="s">
        <v>255</v>
      </c>
      <c r="J31" s="32" t="s">
        <v>55</v>
      </c>
      <c r="K31" s="32">
        <v>345</v>
      </c>
      <c r="P31" s="56" t="s">
        <v>86</v>
      </c>
      <c r="Q31" s="56" t="s">
        <v>49</v>
      </c>
      <c r="R31" s="56">
        <v>635</v>
      </c>
    </row>
    <row r="32" spans="2:21" x14ac:dyDescent="0.25">
      <c r="B32" s="32" t="s">
        <v>110</v>
      </c>
      <c r="C32" s="32" t="s">
        <v>68</v>
      </c>
      <c r="D32" s="32">
        <v>950</v>
      </c>
      <c r="I32" s="32" t="s">
        <v>110</v>
      </c>
      <c r="J32" s="32" t="s">
        <v>68</v>
      </c>
      <c r="K32" s="32">
        <v>292</v>
      </c>
    </row>
    <row r="33" spans="2:21" ht="18.75" x14ac:dyDescent="0.3">
      <c r="B33" s="32" t="s">
        <v>89</v>
      </c>
      <c r="C33" s="32" t="s">
        <v>58</v>
      </c>
      <c r="D33" s="32">
        <v>844</v>
      </c>
      <c r="I33" s="32" t="s">
        <v>87</v>
      </c>
      <c r="J33" s="32" t="s">
        <v>74</v>
      </c>
      <c r="K33" s="32">
        <v>283</v>
      </c>
      <c r="P33" s="66" t="s">
        <v>316</v>
      </c>
      <c r="Q33" s="66"/>
    </row>
    <row r="34" spans="2:21" ht="18.75" x14ac:dyDescent="0.3">
      <c r="B34" s="32" t="s">
        <v>93</v>
      </c>
      <c r="C34" s="32" t="s">
        <v>66</v>
      </c>
      <c r="D34" s="32">
        <v>504</v>
      </c>
      <c r="I34" s="32" t="s">
        <v>108</v>
      </c>
      <c r="J34" s="32" t="s">
        <v>68</v>
      </c>
      <c r="K34" s="32">
        <v>280</v>
      </c>
      <c r="P34" s="31" t="s">
        <v>35</v>
      </c>
      <c r="Q34" s="31" t="s">
        <v>36</v>
      </c>
      <c r="R34" s="31" t="s">
        <v>294</v>
      </c>
      <c r="T34" s="31" t="s">
        <v>310</v>
      </c>
      <c r="U34" s="31" t="s">
        <v>311</v>
      </c>
    </row>
    <row r="35" spans="2:21" x14ac:dyDescent="0.25">
      <c r="B35" s="32" t="s">
        <v>249</v>
      </c>
      <c r="C35" s="32" t="s">
        <v>62</v>
      </c>
      <c r="D35" s="32">
        <v>436</v>
      </c>
      <c r="P35" s="56" t="s">
        <v>54</v>
      </c>
      <c r="Q35" s="56" t="s">
        <v>55</v>
      </c>
      <c r="R35" s="56">
        <v>871</v>
      </c>
      <c r="T35" s="52" t="s">
        <v>297</v>
      </c>
      <c r="U35" s="52">
        <f>R35*2</f>
        <v>1742</v>
      </c>
    </row>
    <row r="36" spans="2:21" x14ac:dyDescent="0.25">
      <c r="B36" s="32" t="s">
        <v>87</v>
      </c>
      <c r="C36" s="32" t="s">
        <v>74</v>
      </c>
      <c r="D36" s="32">
        <v>283</v>
      </c>
      <c r="P36" s="67" t="s">
        <v>89</v>
      </c>
      <c r="Q36" s="67" t="s">
        <v>58</v>
      </c>
      <c r="R36" s="67">
        <v>844</v>
      </c>
      <c r="T36" s="52" t="s">
        <v>298</v>
      </c>
      <c r="U36" s="52">
        <f>R36*1.5</f>
        <v>1266</v>
      </c>
    </row>
    <row r="37" spans="2:21" x14ac:dyDescent="0.25">
      <c r="B37" s="32" t="s">
        <v>255</v>
      </c>
      <c r="C37" s="32" t="s">
        <v>55</v>
      </c>
      <c r="D37" s="32">
        <v>345</v>
      </c>
      <c r="I37" s="56"/>
      <c r="J37" s="32" t="s">
        <v>317</v>
      </c>
      <c r="P37" s="56" t="s">
        <v>48</v>
      </c>
      <c r="Q37" s="56" t="s">
        <v>49</v>
      </c>
      <c r="R37" s="56">
        <v>830</v>
      </c>
      <c r="T37" s="52" t="s">
        <v>112</v>
      </c>
      <c r="U37" s="54">
        <f>SUM(R37:R45)+U35+U36</f>
        <v>9156</v>
      </c>
    </row>
    <row r="38" spans="2:21" x14ac:dyDescent="0.25">
      <c r="I38" s="70"/>
      <c r="J38" s="32" t="s">
        <v>318</v>
      </c>
      <c r="P38" s="56" t="s">
        <v>51</v>
      </c>
      <c r="Q38" s="56" t="s">
        <v>52</v>
      </c>
      <c r="R38" s="56">
        <v>773</v>
      </c>
    </row>
    <row r="39" spans="2:21" x14ac:dyDescent="0.25">
      <c r="I39" s="67"/>
      <c r="J39" s="32" t="s">
        <v>308</v>
      </c>
      <c r="P39" s="67" t="s">
        <v>77</v>
      </c>
      <c r="Q39" s="67" t="s">
        <v>52</v>
      </c>
      <c r="R39" s="67">
        <v>762</v>
      </c>
    </row>
    <row r="40" spans="2:21" x14ac:dyDescent="0.25">
      <c r="P40" s="56" t="s">
        <v>110</v>
      </c>
      <c r="Q40" s="56" t="s">
        <v>68</v>
      </c>
      <c r="R40" s="56">
        <v>677</v>
      </c>
    </row>
    <row r="41" spans="2:21" x14ac:dyDescent="0.25">
      <c r="P41" s="56" t="s">
        <v>59</v>
      </c>
      <c r="Q41" s="56" t="s">
        <v>58</v>
      </c>
      <c r="R41" s="56">
        <v>656</v>
      </c>
    </row>
    <row r="42" spans="2:21" x14ac:dyDescent="0.25">
      <c r="P42" s="56" t="s">
        <v>57</v>
      </c>
      <c r="Q42" s="56" t="s">
        <v>58</v>
      </c>
      <c r="R42" s="56">
        <v>644</v>
      </c>
    </row>
    <row r="43" spans="2:21" x14ac:dyDescent="0.25">
      <c r="P43" s="56" t="s">
        <v>86</v>
      </c>
      <c r="Q43" s="56" t="s">
        <v>49</v>
      </c>
      <c r="R43" s="56">
        <v>635</v>
      </c>
    </row>
    <row r="44" spans="2:21" x14ac:dyDescent="0.25">
      <c r="P44" s="56" t="s">
        <v>56</v>
      </c>
      <c r="Q44" s="56" t="s">
        <v>52</v>
      </c>
      <c r="R44" s="56">
        <v>611</v>
      </c>
    </row>
    <row r="45" spans="2:21" x14ac:dyDescent="0.25">
      <c r="P45" s="67" t="s">
        <v>92</v>
      </c>
      <c r="Q45" s="67" t="s">
        <v>74</v>
      </c>
      <c r="R45" s="67">
        <v>560</v>
      </c>
    </row>
  </sheetData>
  <sortState ref="P34:R44">
    <sortCondition descending="1" ref="R34:R44"/>
  </sortState>
  <mergeCells count="4">
    <mergeCell ref="B1:C1"/>
    <mergeCell ref="P5:Q5"/>
    <mergeCell ref="P19:Q19"/>
    <mergeCell ref="P33:Q3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H95"/>
  <sheetViews>
    <sheetView tabSelected="1" topLeftCell="A40" zoomScale="59" zoomScaleNormal="59" workbookViewId="0">
      <selection activeCell="Y4" sqref="Y4"/>
    </sheetView>
  </sheetViews>
  <sheetFormatPr defaultRowHeight="15" x14ac:dyDescent="0.25"/>
  <cols>
    <col min="2" max="2" width="21" bestFit="1" customWidth="1"/>
    <col min="3" max="3" width="23.85546875" bestFit="1" customWidth="1"/>
    <col min="16" max="16" width="16.5703125" bestFit="1" customWidth="1"/>
    <col min="18" max="18" width="19.5703125" customWidth="1"/>
    <col min="19" max="19" width="9.140625" customWidth="1"/>
    <col min="20" max="20" width="11.28515625" bestFit="1" customWidth="1"/>
    <col min="21" max="21" width="10.85546875" bestFit="1" customWidth="1"/>
    <col min="23" max="23" width="19.28515625" bestFit="1" customWidth="1"/>
    <col min="24" max="24" width="13.42578125" bestFit="1" customWidth="1"/>
    <col min="25" max="25" width="9.140625" customWidth="1"/>
    <col min="28" max="28" width="15.42578125" customWidth="1"/>
    <col min="29" max="29" width="29.7109375" bestFit="1" customWidth="1"/>
    <col min="30" max="30" width="9.140625" customWidth="1"/>
    <col min="33" max="33" width="11.28515625" bestFit="1" customWidth="1"/>
    <col min="34" max="34" width="10.85546875" bestFit="1" customWidth="1"/>
  </cols>
  <sheetData>
    <row r="1" spans="2:34" ht="18.75" x14ac:dyDescent="0.4">
      <c r="B1" s="46" t="s">
        <v>334</v>
      </c>
      <c r="C1" s="46"/>
    </row>
    <row r="3" spans="2:34" ht="18.75" x14ac:dyDescent="0.3">
      <c r="B3" s="65" t="s">
        <v>336</v>
      </c>
      <c r="C3" s="65"/>
      <c r="D3" s="65"/>
      <c r="E3" s="65"/>
      <c r="AB3" s="74" t="s">
        <v>331</v>
      </c>
      <c r="AC3" s="74"/>
      <c r="AD3" s="75"/>
      <c r="AE3" s="75"/>
      <c r="AF3" s="75"/>
    </row>
    <row r="4" spans="2:34" ht="18.75" x14ac:dyDescent="0.3">
      <c r="B4" s="1"/>
      <c r="AE4" s="4"/>
    </row>
    <row r="5" spans="2:34" ht="18.75" x14ac:dyDescent="0.3">
      <c r="B5" s="1" t="s">
        <v>295</v>
      </c>
      <c r="AE5" s="4"/>
    </row>
    <row r="6" spans="2:34" ht="18.75" x14ac:dyDescent="0.3">
      <c r="B6" s="47">
        <v>2020</v>
      </c>
      <c r="W6" s="48" t="s">
        <v>299</v>
      </c>
      <c r="X6" s="48"/>
      <c r="AB6" s="66" t="s">
        <v>314</v>
      </c>
      <c r="AC6" s="66"/>
      <c r="AE6" s="4"/>
    </row>
    <row r="7" spans="2:34" ht="18.75" x14ac:dyDescent="0.3">
      <c r="B7" s="31" t="s">
        <v>35</v>
      </c>
      <c r="C7" s="31" t="s">
        <v>36</v>
      </c>
      <c r="D7" s="31" t="s">
        <v>37</v>
      </c>
      <c r="E7" s="31" t="s">
        <v>38</v>
      </c>
      <c r="F7" s="31" t="s">
        <v>39</v>
      </c>
      <c r="G7" s="31" t="s">
        <v>40</v>
      </c>
      <c r="H7" s="31" t="s">
        <v>41</v>
      </c>
      <c r="I7" s="31" t="s">
        <v>42</v>
      </c>
      <c r="J7" s="31" t="s">
        <v>43</v>
      </c>
      <c r="K7" s="31" t="s">
        <v>44</v>
      </c>
      <c r="L7" s="31" t="s">
        <v>45</v>
      </c>
      <c r="M7" s="31" t="s">
        <v>46</v>
      </c>
      <c r="N7" s="31" t="s">
        <v>47</v>
      </c>
      <c r="O7" s="31" t="s">
        <v>111</v>
      </c>
      <c r="P7" s="31" t="s">
        <v>239</v>
      </c>
      <c r="Q7" s="31" t="s">
        <v>112</v>
      </c>
      <c r="R7" s="31" t="s">
        <v>333</v>
      </c>
      <c r="S7" s="1"/>
      <c r="T7" s="31" t="s">
        <v>310</v>
      </c>
      <c r="U7" s="31" t="s">
        <v>311</v>
      </c>
      <c r="W7" s="31" t="s">
        <v>35</v>
      </c>
      <c r="X7" s="31" t="s">
        <v>36</v>
      </c>
      <c r="Y7" s="31" t="s">
        <v>321</v>
      </c>
      <c r="AB7" s="31" t="s">
        <v>35</v>
      </c>
      <c r="AC7" s="31" t="s">
        <v>36</v>
      </c>
      <c r="AD7" s="31" t="s">
        <v>112</v>
      </c>
      <c r="AE7" s="81"/>
      <c r="AG7" s="31" t="s">
        <v>310</v>
      </c>
      <c r="AH7" s="31" t="s">
        <v>311</v>
      </c>
    </row>
    <row r="8" spans="2:34" x14ac:dyDescent="0.25">
      <c r="B8" s="32" t="s">
        <v>48</v>
      </c>
      <c r="C8" s="32" t="s">
        <v>49</v>
      </c>
      <c r="D8" s="32">
        <v>14</v>
      </c>
      <c r="E8" s="32">
        <v>14</v>
      </c>
      <c r="F8" s="32">
        <v>2</v>
      </c>
      <c r="G8" s="32">
        <v>670</v>
      </c>
      <c r="H8" s="51" t="s">
        <v>50</v>
      </c>
      <c r="I8" s="32">
        <v>1</v>
      </c>
      <c r="J8" s="32">
        <v>5</v>
      </c>
      <c r="K8" s="32">
        <v>55.83</v>
      </c>
      <c r="L8" s="32">
        <v>129.34</v>
      </c>
      <c r="M8" s="32">
        <v>58</v>
      </c>
      <c r="N8" s="32">
        <v>23</v>
      </c>
      <c r="O8" s="32">
        <f t="shared" ref="O8:O18" si="0">((G8*1)+(I8*16) +(J8*8)+(M8*1)+(N8*2))</f>
        <v>830</v>
      </c>
      <c r="P8" s="32" t="str">
        <f t="shared" ref="P8:P18" si="1">IF(AND(L8&gt;=60,L8&lt;=70),-1,IF(AND(L8&gt;=50,L8&lt;=59.9),-4,IF(L8&lt;50,-6,"NA")))</f>
        <v>NA</v>
      </c>
      <c r="Q8" s="32">
        <f t="shared" ref="Q8:Q18" si="2">IFERROR(O8+P8,O8)</f>
        <v>830</v>
      </c>
      <c r="R8" s="32" t="str">
        <f>IFERROR(VLOOKUP(B8,'Bowlers 20'!$A$1:$O$51,1,0),"NA")</f>
        <v>NA</v>
      </c>
      <c r="T8" s="52" t="s">
        <v>297</v>
      </c>
      <c r="U8" s="52">
        <f>Q8*2</f>
        <v>1660</v>
      </c>
      <c r="W8" s="32" t="s">
        <v>77</v>
      </c>
      <c r="X8" s="32" t="s">
        <v>52</v>
      </c>
      <c r="Y8" s="32">
        <v>762</v>
      </c>
      <c r="AB8" s="56" t="s">
        <v>48</v>
      </c>
      <c r="AC8" s="56" t="s">
        <v>49</v>
      </c>
      <c r="AD8" s="56">
        <v>830</v>
      </c>
      <c r="AE8" s="80"/>
      <c r="AG8" s="52" t="s">
        <v>297</v>
      </c>
      <c r="AH8" s="52">
        <f>AD8*2</f>
        <v>1660</v>
      </c>
    </row>
    <row r="9" spans="2:34" x14ac:dyDescent="0.25">
      <c r="B9" s="32" t="s">
        <v>51</v>
      </c>
      <c r="C9" s="32" t="s">
        <v>52</v>
      </c>
      <c r="D9" s="32">
        <v>17</v>
      </c>
      <c r="E9" s="32">
        <v>17</v>
      </c>
      <c r="F9" s="32">
        <v>3</v>
      </c>
      <c r="G9" s="32">
        <v>618</v>
      </c>
      <c r="H9" s="51" t="s">
        <v>53</v>
      </c>
      <c r="I9" s="32">
        <v>2</v>
      </c>
      <c r="J9" s="32">
        <v>4</v>
      </c>
      <c r="K9" s="32">
        <v>44.14</v>
      </c>
      <c r="L9" s="32">
        <v>144.72999999999999</v>
      </c>
      <c r="M9" s="32">
        <v>67</v>
      </c>
      <c r="N9" s="32">
        <v>12</v>
      </c>
      <c r="O9" s="32">
        <f t="shared" si="0"/>
        <v>773</v>
      </c>
      <c r="P9" s="32" t="str">
        <f t="shared" si="1"/>
        <v>NA</v>
      </c>
      <c r="Q9" s="32">
        <f t="shared" si="2"/>
        <v>773</v>
      </c>
      <c r="R9" s="32" t="str">
        <f>IFERROR(VLOOKUP(B9,'Bowlers 20'!$A$1:$O$51,1,0),"NA")</f>
        <v>NA</v>
      </c>
      <c r="T9" s="52" t="s">
        <v>298</v>
      </c>
      <c r="U9" s="52">
        <f>Q9*1.5</f>
        <v>1159.5</v>
      </c>
      <c r="W9" s="32" t="s">
        <v>92</v>
      </c>
      <c r="X9" s="32" t="s">
        <v>74</v>
      </c>
      <c r="Y9" s="32">
        <v>560</v>
      </c>
      <c r="AB9" s="70" t="s">
        <v>121</v>
      </c>
      <c r="AC9" s="70" t="s">
        <v>122</v>
      </c>
      <c r="AD9" s="70">
        <v>774</v>
      </c>
      <c r="AE9" s="80"/>
      <c r="AG9" s="52" t="s">
        <v>298</v>
      </c>
      <c r="AH9" s="52">
        <f>AD9*1.5</f>
        <v>1161</v>
      </c>
    </row>
    <row r="10" spans="2:34" x14ac:dyDescent="0.25">
      <c r="B10" s="32" t="s">
        <v>54</v>
      </c>
      <c r="C10" s="32" t="s">
        <v>55</v>
      </c>
      <c r="D10" s="32">
        <v>16</v>
      </c>
      <c r="E10" s="32">
        <v>16</v>
      </c>
      <c r="F10" s="32">
        <v>2</v>
      </c>
      <c r="G10" s="32">
        <v>548</v>
      </c>
      <c r="H10" s="51">
        <v>85</v>
      </c>
      <c r="I10" s="32">
        <v>0</v>
      </c>
      <c r="J10" s="32">
        <v>4</v>
      </c>
      <c r="K10" s="32">
        <v>39.14</v>
      </c>
      <c r="L10" s="32">
        <v>134.63999999999999</v>
      </c>
      <c r="M10" s="32">
        <v>52</v>
      </c>
      <c r="N10" s="32">
        <v>14</v>
      </c>
      <c r="O10" s="32">
        <f t="shared" si="0"/>
        <v>660</v>
      </c>
      <c r="P10" s="32" t="str">
        <f t="shared" si="1"/>
        <v>NA</v>
      </c>
      <c r="Q10" s="32">
        <f t="shared" si="2"/>
        <v>660</v>
      </c>
      <c r="R10" s="32" t="str">
        <f>IFERROR(VLOOKUP(B10,'Bowlers 20'!$A$1:$O$51,1,0),"NA")</f>
        <v>NA</v>
      </c>
      <c r="T10" s="52" t="s">
        <v>112</v>
      </c>
      <c r="U10" s="54">
        <f>SUM(Q10:Q18)+U8+U9</f>
        <v>8193.5</v>
      </c>
      <c r="W10" s="32" t="s">
        <v>93</v>
      </c>
      <c r="X10" s="32" t="s">
        <v>66</v>
      </c>
      <c r="Y10" s="32">
        <v>434</v>
      </c>
      <c r="AB10" s="56" t="s">
        <v>51</v>
      </c>
      <c r="AC10" s="56" t="s">
        <v>52</v>
      </c>
      <c r="AD10" s="56">
        <v>773</v>
      </c>
      <c r="AE10" s="80"/>
      <c r="AG10" s="52" t="s">
        <v>112</v>
      </c>
      <c r="AH10" s="54">
        <f>SUM(AD10:AD18)+AH8+AH9</f>
        <v>8643</v>
      </c>
    </row>
    <row r="11" spans="2:34" ht="18.75" x14ac:dyDescent="0.3">
      <c r="B11" s="32" t="s">
        <v>57</v>
      </c>
      <c r="C11" s="32" t="s">
        <v>58</v>
      </c>
      <c r="D11" s="32">
        <v>14</v>
      </c>
      <c r="E11" s="32">
        <v>13</v>
      </c>
      <c r="F11" s="32">
        <v>4</v>
      </c>
      <c r="G11" s="32">
        <v>516</v>
      </c>
      <c r="H11" s="51">
        <v>99</v>
      </c>
      <c r="I11" s="32">
        <v>0</v>
      </c>
      <c r="J11" s="32">
        <v>4</v>
      </c>
      <c r="K11" s="32">
        <v>57.33</v>
      </c>
      <c r="L11" s="32">
        <v>145.76</v>
      </c>
      <c r="M11" s="32">
        <v>36</v>
      </c>
      <c r="N11" s="32">
        <v>30</v>
      </c>
      <c r="O11" s="32">
        <f t="shared" si="0"/>
        <v>644</v>
      </c>
      <c r="P11" s="32" t="str">
        <f t="shared" si="1"/>
        <v>NA</v>
      </c>
      <c r="Q11" s="32">
        <f t="shared" si="2"/>
        <v>644</v>
      </c>
      <c r="R11" s="32" t="str">
        <f>IFERROR(VLOOKUP(B11,'Bowlers 20'!$A$1:$O$51,1,0),"NA")</f>
        <v>NA</v>
      </c>
      <c r="T11" s="1"/>
      <c r="W11" s="32" t="s">
        <v>100</v>
      </c>
      <c r="X11" s="32" t="s">
        <v>66</v>
      </c>
      <c r="Y11" s="32">
        <v>555</v>
      </c>
      <c r="AB11" s="67" t="s">
        <v>77</v>
      </c>
      <c r="AC11" s="67" t="s">
        <v>52</v>
      </c>
      <c r="AD11" s="67">
        <v>762</v>
      </c>
      <c r="AE11" s="80"/>
    </row>
    <row r="12" spans="2:34" x14ac:dyDescent="0.25">
      <c r="B12" s="32" t="s">
        <v>59</v>
      </c>
      <c r="C12" s="32" t="s">
        <v>58</v>
      </c>
      <c r="D12" s="32">
        <v>16</v>
      </c>
      <c r="E12" s="32">
        <v>16</v>
      </c>
      <c r="F12" s="32">
        <v>2</v>
      </c>
      <c r="G12" s="32">
        <v>503</v>
      </c>
      <c r="H12" s="51">
        <v>78</v>
      </c>
      <c r="I12" s="32">
        <v>0</v>
      </c>
      <c r="J12" s="32">
        <v>4</v>
      </c>
      <c r="K12" s="32">
        <v>35.93</v>
      </c>
      <c r="L12" s="32">
        <v>140.5</v>
      </c>
      <c r="M12" s="32">
        <v>46</v>
      </c>
      <c r="N12" s="32">
        <v>22</v>
      </c>
      <c r="O12" s="32">
        <f t="shared" si="0"/>
        <v>625</v>
      </c>
      <c r="P12" s="32" t="str">
        <f t="shared" si="1"/>
        <v>NA</v>
      </c>
      <c r="Q12" s="32">
        <f t="shared" si="2"/>
        <v>625</v>
      </c>
      <c r="R12" s="32" t="str">
        <f>IFERROR(VLOOKUP(B12,'Bowlers 20'!$A$1:$O$51,1,0),"NA")</f>
        <v>NA</v>
      </c>
      <c r="W12" s="32" t="s">
        <v>103</v>
      </c>
      <c r="X12" s="32" t="s">
        <v>68</v>
      </c>
      <c r="Y12" s="32">
        <v>487</v>
      </c>
      <c r="AB12" s="70" t="s">
        <v>123</v>
      </c>
      <c r="AC12" s="70" t="s">
        <v>124</v>
      </c>
      <c r="AD12" s="70">
        <v>707</v>
      </c>
      <c r="AE12" s="80"/>
    </row>
    <row r="13" spans="2:34" x14ac:dyDescent="0.25">
      <c r="B13" s="32" t="s">
        <v>56</v>
      </c>
      <c r="C13" s="32" t="s">
        <v>52</v>
      </c>
      <c r="D13" s="32">
        <v>17</v>
      </c>
      <c r="E13" s="32">
        <v>17</v>
      </c>
      <c r="F13" s="32">
        <v>2</v>
      </c>
      <c r="G13" s="32">
        <v>519</v>
      </c>
      <c r="H13" s="51">
        <v>88</v>
      </c>
      <c r="I13" s="32">
        <v>0</v>
      </c>
      <c r="J13" s="32">
        <v>3</v>
      </c>
      <c r="K13" s="32">
        <v>34.6</v>
      </c>
      <c r="L13" s="32">
        <v>123.28</v>
      </c>
      <c r="M13" s="32">
        <v>40</v>
      </c>
      <c r="N13" s="32">
        <v>14</v>
      </c>
      <c r="O13" s="32">
        <f t="shared" si="0"/>
        <v>611</v>
      </c>
      <c r="P13" s="32" t="str">
        <f t="shared" si="1"/>
        <v>NA</v>
      </c>
      <c r="Q13" s="32">
        <f t="shared" si="2"/>
        <v>611</v>
      </c>
      <c r="R13" s="32" t="str">
        <f>IFERROR(VLOOKUP(B13,'Bowlers 20'!$A$1:$O$51,1,0),"NA")</f>
        <v>NA</v>
      </c>
      <c r="W13" s="32" t="s">
        <v>108</v>
      </c>
      <c r="X13" s="32" t="s">
        <v>68</v>
      </c>
      <c r="Y13" s="32">
        <v>280</v>
      </c>
      <c r="AB13" s="56" t="s">
        <v>54</v>
      </c>
      <c r="AC13" s="56" t="s">
        <v>55</v>
      </c>
      <c r="AD13" s="56">
        <v>660</v>
      </c>
      <c r="AE13" s="80"/>
    </row>
    <row r="14" spans="2:34" x14ac:dyDescent="0.25">
      <c r="B14" s="32" t="s">
        <v>60</v>
      </c>
      <c r="C14" s="32" t="s">
        <v>58</v>
      </c>
      <c r="D14" s="32">
        <v>16</v>
      </c>
      <c r="E14" s="32">
        <v>15</v>
      </c>
      <c r="F14" s="32">
        <v>3</v>
      </c>
      <c r="G14" s="32">
        <v>480</v>
      </c>
      <c r="H14" s="51">
        <v>79</v>
      </c>
      <c r="I14" s="32">
        <v>0</v>
      </c>
      <c r="J14" s="32">
        <v>4</v>
      </c>
      <c r="K14" s="32">
        <v>40</v>
      </c>
      <c r="L14" s="32">
        <v>145.02000000000001</v>
      </c>
      <c r="M14" s="32">
        <v>61</v>
      </c>
      <c r="N14" s="32">
        <v>11</v>
      </c>
      <c r="O14" s="32">
        <f t="shared" si="0"/>
        <v>595</v>
      </c>
      <c r="P14" s="32" t="str">
        <f t="shared" si="1"/>
        <v>NA</v>
      </c>
      <c r="Q14" s="32">
        <f t="shared" si="2"/>
        <v>595</v>
      </c>
      <c r="R14" s="32" t="str">
        <f>IFERROR(VLOOKUP(B14,'Bowlers 20'!$A$1:$O$51,1,0),"NA")</f>
        <v>NA</v>
      </c>
      <c r="W14" s="32" t="s">
        <v>109</v>
      </c>
      <c r="X14" s="32" t="s">
        <v>52</v>
      </c>
      <c r="Y14" s="32">
        <v>364</v>
      </c>
      <c r="AB14" s="70" t="s">
        <v>125</v>
      </c>
      <c r="AC14" s="70" t="s">
        <v>126</v>
      </c>
      <c r="AD14" s="70">
        <v>657</v>
      </c>
      <c r="AE14" s="80"/>
    </row>
    <row r="15" spans="2:34" x14ac:dyDescent="0.25">
      <c r="B15" s="32" t="s">
        <v>61</v>
      </c>
      <c r="C15" s="32" t="s">
        <v>62</v>
      </c>
      <c r="D15" s="32">
        <v>15</v>
      </c>
      <c r="E15" s="32">
        <v>15</v>
      </c>
      <c r="F15" s="32">
        <v>0</v>
      </c>
      <c r="G15" s="32">
        <v>473</v>
      </c>
      <c r="H15" s="51">
        <v>74</v>
      </c>
      <c r="I15" s="32">
        <v>0</v>
      </c>
      <c r="J15" s="32">
        <v>5</v>
      </c>
      <c r="K15" s="32">
        <v>31.53</v>
      </c>
      <c r="L15" s="32">
        <v>124.8</v>
      </c>
      <c r="M15" s="32">
        <v>51</v>
      </c>
      <c r="N15" s="32">
        <v>8</v>
      </c>
      <c r="O15" s="32">
        <f t="shared" si="0"/>
        <v>580</v>
      </c>
      <c r="P15" s="32" t="str">
        <f t="shared" si="1"/>
        <v>NA</v>
      </c>
      <c r="Q15" s="32">
        <f t="shared" si="2"/>
        <v>580</v>
      </c>
      <c r="R15" s="32" t="str">
        <f>IFERROR(VLOOKUP(B15,'Bowlers 20'!$A$1:$O$51,1,0),"NA")</f>
        <v>NA</v>
      </c>
      <c r="W15" s="32" t="s">
        <v>110</v>
      </c>
      <c r="X15" s="32" t="s">
        <v>68</v>
      </c>
      <c r="Y15" s="32">
        <v>292</v>
      </c>
      <c r="AB15" s="56" t="s">
        <v>57</v>
      </c>
      <c r="AC15" s="56" t="s">
        <v>58</v>
      </c>
      <c r="AD15" s="56">
        <v>644</v>
      </c>
      <c r="AE15" s="80"/>
    </row>
    <row r="16" spans="2:34" x14ac:dyDescent="0.25">
      <c r="B16" s="32" t="s">
        <v>64</v>
      </c>
      <c r="C16" s="32" t="s">
        <v>62</v>
      </c>
      <c r="D16" s="32">
        <v>15</v>
      </c>
      <c r="E16" s="32">
        <v>14</v>
      </c>
      <c r="F16" s="32">
        <v>4</v>
      </c>
      <c r="G16" s="32">
        <v>454</v>
      </c>
      <c r="H16" s="51">
        <v>73</v>
      </c>
      <c r="I16" s="32">
        <v>0</v>
      </c>
      <c r="J16" s="32">
        <v>5</v>
      </c>
      <c r="K16" s="32">
        <v>45.4</v>
      </c>
      <c r="L16" s="32">
        <v>158.74</v>
      </c>
      <c r="M16" s="32">
        <v>33</v>
      </c>
      <c r="N16" s="32">
        <v>23</v>
      </c>
      <c r="O16" s="32">
        <f t="shared" si="0"/>
        <v>573</v>
      </c>
      <c r="P16" s="32" t="str">
        <f t="shared" si="1"/>
        <v>NA</v>
      </c>
      <c r="Q16" s="32">
        <f t="shared" si="2"/>
        <v>573</v>
      </c>
      <c r="R16" s="32" t="str">
        <f>IFERROR(VLOOKUP(B16,'Bowlers 20'!$A$1:$O$51,1,0),"NA")</f>
        <v>NA</v>
      </c>
      <c r="AB16" s="56" t="s">
        <v>59</v>
      </c>
      <c r="AC16" s="56" t="s">
        <v>58</v>
      </c>
      <c r="AD16" s="56">
        <v>625</v>
      </c>
      <c r="AE16" s="80"/>
    </row>
    <row r="17" spans="2:34" x14ac:dyDescent="0.25">
      <c r="B17" s="32" t="s">
        <v>65</v>
      </c>
      <c r="C17" s="32" t="s">
        <v>66</v>
      </c>
      <c r="D17" s="32">
        <v>13</v>
      </c>
      <c r="E17" s="32">
        <v>13</v>
      </c>
      <c r="F17" s="32">
        <v>2</v>
      </c>
      <c r="G17" s="32">
        <v>449</v>
      </c>
      <c r="H17" s="51">
        <v>87</v>
      </c>
      <c r="I17" s="32">
        <v>0</v>
      </c>
      <c r="J17" s="32">
        <v>4</v>
      </c>
      <c r="K17" s="32">
        <v>40.82</v>
      </c>
      <c r="L17" s="32">
        <v>140.75</v>
      </c>
      <c r="M17" s="32">
        <v>42</v>
      </c>
      <c r="N17" s="32">
        <v>14</v>
      </c>
      <c r="O17" s="32">
        <f t="shared" si="0"/>
        <v>551</v>
      </c>
      <c r="P17" s="32" t="str">
        <f t="shared" si="1"/>
        <v>NA</v>
      </c>
      <c r="Q17" s="32">
        <f t="shared" si="2"/>
        <v>551</v>
      </c>
      <c r="R17" s="32" t="str">
        <f>IFERROR(VLOOKUP(B17,'Bowlers 20'!$A$1:$O$51,1,0),"NA")</f>
        <v>NA</v>
      </c>
      <c r="AB17" s="67" t="s">
        <v>92</v>
      </c>
      <c r="AC17" s="67" t="s">
        <v>74</v>
      </c>
      <c r="AD17" s="67">
        <v>560</v>
      </c>
      <c r="AE17" s="80"/>
    </row>
    <row r="18" spans="2:34" x14ac:dyDescent="0.25">
      <c r="B18" s="32" t="s">
        <v>63</v>
      </c>
      <c r="C18" s="32" t="s">
        <v>62</v>
      </c>
      <c r="D18" s="32">
        <v>15</v>
      </c>
      <c r="E18" s="32">
        <v>15</v>
      </c>
      <c r="F18" s="32">
        <v>4</v>
      </c>
      <c r="G18" s="32">
        <v>466</v>
      </c>
      <c r="H18" s="51">
        <v>90</v>
      </c>
      <c r="I18" s="32">
        <v>0</v>
      </c>
      <c r="J18" s="32">
        <v>3</v>
      </c>
      <c r="K18" s="32">
        <v>42.36</v>
      </c>
      <c r="L18" s="32">
        <v>121.35</v>
      </c>
      <c r="M18" s="32">
        <v>23</v>
      </c>
      <c r="N18" s="32">
        <v>11</v>
      </c>
      <c r="O18" s="32">
        <f t="shared" si="0"/>
        <v>535</v>
      </c>
      <c r="P18" s="32" t="str">
        <f t="shared" si="1"/>
        <v>NA</v>
      </c>
      <c r="Q18" s="32">
        <f t="shared" si="2"/>
        <v>535</v>
      </c>
      <c r="R18" s="32" t="str">
        <f>IFERROR(VLOOKUP(B18,'Bowlers 20'!$A$1:$O$51,1,0),"NA")</f>
        <v>NA</v>
      </c>
      <c r="AB18" s="67" t="s">
        <v>93</v>
      </c>
      <c r="AC18" s="67" t="s">
        <v>66</v>
      </c>
      <c r="AD18" s="67">
        <v>434</v>
      </c>
      <c r="AE18" s="80"/>
    </row>
    <row r="19" spans="2:34" x14ac:dyDescent="0.25">
      <c r="AE19" s="80"/>
    </row>
    <row r="20" spans="2:34" ht="18.75" x14ac:dyDescent="0.3">
      <c r="B20" s="1" t="s">
        <v>296</v>
      </c>
      <c r="AB20" s="66" t="s">
        <v>315</v>
      </c>
      <c r="AC20" s="66"/>
      <c r="AE20" s="80"/>
    </row>
    <row r="21" spans="2:34" ht="18.75" x14ac:dyDescent="0.3">
      <c r="B21" s="47">
        <v>2020</v>
      </c>
      <c r="AB21" s="31" t="s">
        <v>35</v>
      </c>
      <c r="AC21" s="31" t="s">
        <v>36</v>
      </c>
      <c r="AD21" s="31" t="s">
        <v>112</v>
      </c>
      <c r="AE21" s="81"/>
      <c r="AG21" s="31" t="s">
        <v>310</v>
      </c>
      <c r="AH21" s="31" t="s">
        <v>311</v>
      </c>
    </row>
    <row r="22" spans="2:34" ht="18.75" x14ac:dyDescent="0.3">
      <c r="B22" s="31" t="s">
        <v>35</v>
      </c>
      <c r="C22" s="31" t="s">
        <v>36</v>
      </c>
      <c r="D22" s="31" t="s">
        <v>114</v>
      </c>
      <c r="E22" s="31" t="s">
        <v>115</v>
      </c>
      <c r="F22" s="31" t="s">
        <v>116</v>
      </c>
      <c r="G22" s="31" t="s">
        <v>40</v>
      </c>
      <c r="H22" s="31" t="s">
        <v>117</v>
      </c>
      <c r="I22" s="31" t="s">
        <v>44</v>
      </c>
      <c r="J22" s="31" t="s">
        <v>118</v>
      </c>
      <c r="K22" s="31" t="s">
        <v>119</v>
      </c>
      <c r="L22" s="31" t="s">
        <v>45</v>
      </c>
      <c r="M22" s="31" t="s">
        <v>120</v>
      </c>
      <c r="N22" s="31" t="s">
        <v>238</v>
      </c>
      <c r="O22" s="31" t="s">
        <v>237</v>
      </c>
      <c r="P22" s="31" t="s">
        <v>112</v>
      </c>
      <c r="T22" s="31" t="s">
        <v>310</v>
      </c>
      <c r="U22" s="31" t="s">
        <v>311</v>
      </c>
      <c r="W22" s="56"/>
      <c r="X22" s="32" t="s">
        <v>317</v>
      </c>
      <c r="AB22" s="56" t="s">
        <v>48</v>
      </c>
      <c r="AC22" s="56" t="s">
        <v>49</v>
      </c>
      <c r="AD22" s="56">
        <v>830</v>
      </c>
      <c r="AE22" s="80"/>
      <c r="AG22" s="52" t="s">
        <v>297</v>
      </c>
      <c r="AH22" s="52">
        <f>AD22*2</f>
        <v>1660</v>
      </c>
    </row>
    <row r="23" spans="2:34" x14ac:dyDescent="0.25">
      <c r="B23" s="32" t="s">
        <v>121</v>
      </c>
      <c r="C23" s="32" t="s">
        <v>122</v>
      </c>
      <c r="D23" s="32">
        <v>17</v>
      </c>
      <c r="E23" s="32">
        <v>65.400000000000006</v>
      </c>
      <c r="F23" s="32">
        <v>1</v>
      </c>
      <c r="G23" s="32">
        <v>548</v>
      </c>
      <c r="H23" s="32">
        <v>30</v>
      </c>
      <c r="I23" s="32">
        <v>18.27</v>
      </c>
      <c r="J23" s="32">
        <v>44675</v>
      </c>
      <c r="K23" s="32">
        <v>8.35</v>
      </c>
      <c r="L23" s="32">
        <v>13.13</v>
      </c>
      <c r="M23" s="32">
        <v>2</v>
      </c>
      <c r="N23" s="32">
        <f t="shared" ref="N23:N33" si="3">((H23*25)+(M23*8)+(F23*8))</f>
        <v>774</v>
      </c>
      <c r="O23" s="32" t="str">
        <f t="shared" ref="O23:O33" si="4">IF(K23&lt;4,6,IF(AND(K23&gt;=4,K23&lt;=4.99),4,IF(AND(K23&gt;=5,K23&lt;=6),2,IF(AND(K23&gt;=9,K23&lt;=10),-2,IF(AND(K23&gt;=10.01,K23&lt;=11),-4,IF(K23&gt;11,-6,"NA"))))))</f>
        <v>NA</v>
      </c>
      <c r="P23" s="32">
        <f t="shared" ref="P23:P33" si="5">IFERROR(N23+O23,N23)</f>
        <v>774</v>
      </c>
      <c r="T23" s="52" t="s">
        <v>297</v>
      </c>
      <c r="U23" s="52">
        <f>P23*2</f>
        <v>1548</v>
      </c>
      <c r="W23" s="70"/>
      <c r="X23" s="32" t="s">
        <v>318</v>
      </c>
      <c r="AB23" s="70" t="s">
        <v>121</v>
      </c>
      <c r="AC23" s="70" t="s">
        <v>122</v>
      </c>
      <c r="AD23" s="70">
        <v>774</v>
      </c>
      <c r="AE23" s="80"/>
      <c r="AG23" s="52" t="s">
        <v>298</v>
      </c>
      <c r="AH23" s="52">
        <f>AD23*1.5</f>
        <v>1161</v>
      </c>
    </row>
    <row r="24" spans="2:34" x14ac:dyDescent="0.25">
      <c r="B24" s="32" t="s">
        <v>123</v>
      </c>
      <c r="C24" s="32" t="s">
        <v>124</v>
      </c>
      <c r="D24" s="32">
        <v>15</v>
      </c>
      <c r="E24" s="32">
        <v>60</v>
      </c>
      <c r="F24" s="32">
        <v>2</v>
      </c>
      <c r="G24" s="32">
        <v>404</v>
      </c>
      <c r="H24" s="32">
        <v>27</v>
      </c>
      <c r="I24" s="32">
        <v>14.96</v>
      </c>
      <c r="J24" s="32">
        <v>44665</v>
      </c>
      <c r="K24" s="32">
        <v>6.73</v>
      </c>
      <c r="L24" s="32">
        <v>13.33</v>
      </c>
      <c r="M24" s="32">
        <v>2</v>
      </c>
      <c r="N24" s="32">
        <f t="shared" si="3"/>
        <v>707</v>
      </c>
      <c r="O24" s="32" t="str">
        <f t="shared" si="4"/>
        <v>NA</v>
      </c>
      <c r="P24" s="32">
        <f t="shared" si="5"/>
        <v>707</v>
      </c>
      <c r="T24" s="52" t="s">
        <v>298</v>
      </c>
      <c r="U24" s="52">
        <f>P24*1.5</f>
        <v>1060.5</v>
      </c>
      <c r="W24" s="67"/>
      <c r="X24" s="32" t="s">
        <v>308</v>
      </c>
      <c r="AB24" s="56" t="s">
        <v>51</v>
      </c>
      <c r="AC24" s="56" t="s">
        <v>52</v>
      </c>
      <c r="AD24" s="56">
        <v>773</v>
      </c>
      <c r="AE24" s="80"/>
      <c r="AG24" s="52" t="s">
        <v>112</v>
      </c>
      <c r="AH24" s="54">
        <f>SUM(AD24:AD32)+AH22+AH23</f>
        <v>8758</v>
      </c>
    </row>
    <row r="25" spans="2:34" x14ac:dyDescent="0.25">
      <c r="B25" s="32" t="s">
        <v>125</v>
      </c>
      <c r="C25" s="32" t="s">
        <v>126</v>
      </c>
      <c r="D25" s="32">
        <v>15</v>
      </c>
      <c r="E25" s="32">
        <v>57.2</v>
      </c>
      <c r="F25" s="32">
        <v>3</v>
      </c>
      <c r="G25" s="32">
        <v>457</v>
      </c>
      <c r="H25" s="32">
        <v>25</v>
      </c>
      <c r="I25" s="32">
        <v>18.28</v>
      </c>
      <c r="J25" s="32">
        <v>44669</v>
      </c>
      <c r="K25" s="32">
        <v>7.97</v>
      </c>
      <c r="L25" s="32">
        <v>13.76</v>
      </c>
      <c r="M25" s="32">
        <v>1</v>
      </c>
      <c r="N25" s="32">
        <f t="shared" si="3"/>
        <v>657</v>
      </c>
      <c r="O25" s="32" t="str">
        <f t="shared" si="4"/>
        <v>NA</v>
      </c>
      <c r="P25" s="32">
        <f t="shared" si="5"/>
        <v>657</v>
      </c>
      <c r="T25" s="52" t="s">
        <v>112</v>
      </c>
      <c r="U25" s="54">
        <f>SUM(P25:P33)+U23+U24</f>
        <v>7066.5</v>
      </c>
      <c r="AB25" s="67" t="s">
        <v>77</v>
      </c>
      <c r="AC25" s="67" t="s">
        <v>52</v>
      </c>
      <c r="AD25" s="67">
        <v>762</v>
      </c>
      <c r="AE25" s="80"/>
    </row>
    <row r="26" spans="2:34" x14ac:dyDescent="0.25">
      <c r="B26" s="32" t="s">
        <v>127</v>
      </c>
      <c r="C26" s="32" t="s">
        <v>128</v>
      </c>
      <c r="D26" s="32">
        <v>16</v>
      </c>
      <c r="E26" s="32">
        <v>61</v>
      </c>
      <c r="F26" s="32">
        <v>0</v>
      </c>
      <c r="G26" s="32">
        <v>512</v>
      </c>
      <c r="H26" s="32">
        <v>22</v>
      </c>
      <c r="I26" s="32">
        <v>23.27</v>
      </c>
      <c r="J26" s="32">
        <v>12114</v>
      </c>
      <c r="K26" s="32">
        <v>8.39</v>
      </c>
      <c r="L26" s="32">
        <v>16.64</v>
      </c>
      <c r="M26" s="32">
        <v>0</v>
      </c>
      <c r="N26" s="32">
        <f t="shared" si="3"/>
        <v>550</v>
      </c>
      <c r="O26" s="32" t="str">
        <f t="shared" si="4"/>
        <v>NA</v>
      </c>
      <c r="P26" s="32">
        <f t="shared" si="5"/>
        <v>550</v>
      </c>
      <c r="AB26" s="70" t="s">
        <v>123</v>
      </c>
      <c r="AC26" s="70" t="s">
        <v>124</v>
      </c>
      <c r="AD26" s="70">
        <v>707</v>
      </c>
      <c r="AE26" s="80"/>
    </row>
    <row r="27" spans="2:34" x14ac:dyDescent="0.25">
      <c r="B27" s="32" t="s">
        <v>129</v>
      </c>
      <c r="C27" s="32" t="s">
        <v>130</v>
      </c>
      <c r="D27" s="32">
        <v>15</v>
      </c>
      <c r="E27" s="32">
        <v>57.1</v>
      </c>
      <c r="F27" s="32">
        <v>0</v>
      </c>
      <c r="G27" s="32">
        <v>405</v>
      </c>
      <c r="H27" s="32">
        <v>21</v>
      </c>
      <c r="I27" s="32">
        <v>19.29</v>
      </c>
      <c r="J27" s="32">
        <v>44638</v>
      </c>
      <c r="K27" s="32">
        <v>7.08</v>
      </c>
      <c r="L27" s="32">
        <v>16.329999999999998</v>
      </c>
      <c r="M27" s="32">
        <v>0</v>
      </c>
      <c r="N27" s="32">
        <f t="shared" si="3"/>
        <v>525</v>
      </c>
      <c r="O27" s="32" t="str">
        <f t="shared" si="4"/>
        <v>NA</v>
      </c>
      <c r="P27" s="32">
        <f t="shared" si="5"/>
        <v>525</v>
      </c>
      <c r="AB27" s="56" t="s">
        <v>54</v>
      </c>
      <c r="AC27" s="56" t="s">
        <v>55</v>
      </c>
      <c r="AD27" s="56">
        <v>660</v>
      </c>
      <c r="AE27" s="80"/>
    </row>
    <row r="28" spans="2:34" x14ac:dyDescent="0.25">
      <c r="B28" s="32" t="s">
        <v>135</v>
      </c>
      <c r="C28" s="32" t="s">
        <v>136</v>
      </c>
      <c r="D28" s="32">
        <v>16</v>
      </c>
      <c r="E28" s="32">
        <v>64</v>
      </c>
      <c r="F28" s="32">
        <v>1</v>
      </c>
      <c r="G28" s="32">
        <v>344</v>
      </c>
      <c r="H28" s="32">
        <v>20</v>
      </c>
      <c r="I28" s="32">
        <v>17.2</v>
      </c>
      <c r="J28" s="32">
        <v>44627</v>
      </c>
      <c r="K28" s="32">
        <v>5.38</v>
      </c>
      <c r="L28" s="32">
        <v>19.2</v>
      </c>
      <c r="M28" s="32">
        <v>0</v>
      </c>
      <c r="N28" s="32">
        <f t="shared" si="3"/>
        <v>508</v>
      </c>
      <c r="O28" s="32">
        <f t="shared" si="4"/>
        <v>2</v>
      </c>
      <c r="P28" s="32">
        <f t="shared" si="5"/>
        <v>510</v>
      </c>
      <c r="AB28" s="56" t="s">
        <v>57</v>
      </c>
      <c r="AC28" s="56" t="s">
        <v>58</v>
      </c>
      <c r="AD28" s="56">
        <v>644</v>
      </c>
      <c r="AE28" s="80"/>
    </row>
    <row r="29" spans="2:34" x14ac:dyDescent="0.25">
      <c r="B29" s="32" t="s">
        <v>131</v>
      </c>
      <c r="C29" s="32" t="s">
        <v>132</v>
      </c>
      <c r="D29" s="32">
        <v>14</v>
      </c>
      <c r="E29" s="32">
        <v>53.4</v>
      </c>
      <c r="F29" s="32">
        <v>0</v>
      </c>
      <c r="G29" s="32">
        <v>460</v>
      </c>
      <c r="H29" s="32">
        <v>20</v>
      </c>
      <c r="I29" s="32">
        <v>23</v>
      </c>
      <c r="J29" s="32">
        <v>44635</v>
      </c>
      <c r="K29" s="32">
        <v>8.57</v>
      </c>
      <c r="L29" s="32">
        <v>16.100000000000001</v>
      </c>
      <c r="M29" s="32">
        <v>0</v>
      </c>
      <c r="N29" s="32">
        <f t="shared" si="3"/>
        <v>500</v>
      </c>
      <c r="O29" s="32" t="str">
        <f t="shared" si="4"/>
        <v>NA</v>
      </c>
      <c r="P29" s="32">
        <f t="shared" si="5"/>
        <v>500</v>
      </c>
      <c r="AB29" s="56" t="s">
        <v>59</v>
      </c>
      <c r="AC29" s="56" t="s">
        <v>58</v>
      </c>
      <c r="AD29" s="56">
        <v>625</v>
      </c>
      <c r="AE29" s="80"/>
    </row>
    <row r="30" spans="2:34" x14ac:dyDescent="0.25">
      <c r="B30" s="32" t="s">
        <v>133</v>
      </c>
      <c r="C30" s="32" t="s">
        <v>134</v>
      </c>
      <c r="D30" s="32">
        <v>14</v>
      </c>
      <c r="E30" s="32">
        <v>55.4</v>
      </c>
      <c r="F30" s="32">
        <v>0</v>
      </c>
      <c r="G30" s="32">
        <v>365</v>
      </c>
      <c r="H30" s="32">
        <v>20</v>
      </c>
      <c r="I30" s="32">
        <v>18.25</v>
      </c>
      <c r="J30" s="32">
        <v>44639</v>
      </c>
      <c r="K30" s="32">
        <v>6.56</v>
      </c>
      <c r="L30" s="32">
        <v>16.7</v>
      </c>
      <c r="M30" s="32">
        <v>0</v>
      </c>
      <c r="N30" s="32">
        <f t="shared" si="3"/>
        <v>500</v>
      </c>
      <c r="O30" s="32" t="str">
        <f t="shared" si="4"/>
        <v>NA</v>
      </c>
      <c r="P30" s="32">
        <f t="shared" si="5"/>
        <v>500</v>
      </c>
      <c r="AB30" s="56" t="s">
        <v>56</v>
      </c>
      <c r="AC30" s="56" t="s">
        <v>52</v>
      </c>
      <c r="AD30" s="56">
        <v>611</v>
      </c>
      <c r="AE30" s="80"/>
    </row>
    <row r="31" spans="2:34" x14ac:dyDescent="0.25">
      <c r="B31" s="32" t="s">
        <v>137</v>
      </c>
      <c r="C31" s="32" t="s">
        <v>138</v>
      </c>
      <c r="D31" s="32">
        <v>13</v>
      </c>
      <c r="E31" s="32">
        <v>52</v>
      </c>
      <c r="F31" s="32">
        <v>0</v>
      </c>
      <c r="G31" s="32">
        <v>356</v>
      </c>
      <c r="H31" s="32">
        <v>17</v>
      </c>
      <c r="I31" s="32">
        <v>20.94</v>
      </c>
      <c r="J31" s="32">
        <v>44701</v>
      </c>
      <c r="K31" s="32">
        <v>6.85</v>
      </c>
      <c r="L31" s="32">
        <v>18.350000000000001</v>
      </c>
      <c r="M31" s="32">
        <v>1</v>
      </c>
      <c r="N31" s="32">
        <f t="shared" si="3"/>
        <v>433</v>
      </c>
      <c r="O31" s="32" t="str">
        <f t="shared" si="4"/>
        <v>NA</v>
      </c>
      <c r="P31" s="32">
        <f t="shared" si="5"/>
        <v>433</v>
      </c>
      <c r="AB31" s="56" t="s">
        <v>60</v>
      </c>
      <c r="AC31" s="56" t="s">
        <v>58</v>
      </c>
      <c r="AD31" s="56">
        <v>595</v>
      </c>
      <c r="AE31" s="80"/>
    </row>
    <row r="32" spans="2:34" x14ac:dyDescent="0.25">
      <c r="B32" s="32" t="s">
        <v>139</v>
      </c>
      <c r="C32" s="32" t="s">
        <v>140</v>
      </c>
      <c r="D32" s="32">
        <v>16</v>
      </c>
      <c r="E32" s="32">
        <v>62.5</v>
      </c>
      <c r="F32" s="32">
        <v>1</v>
      </c>
      <c r="G32" s="32">
        <v>504</v>
      </c>
      <c r="H32" s="32">
        <v>16</v>
      </c>
      <c r="I32" s="32">
        <v>31.5</v>
      </c>
      <c r="J32" s="32">
        <v>44616</v>
      </c>
      <c r="K32" s="32">
        <v>8.02</v>
      </c>
      <c r="L32" s="32">
        <v>23.56</v>
      </c>
      <c r="M32" s="32">
        <v>0</v>
      </c>
      <c r="N32" s="32">
        <f t="shared" si="3"/>
        <v>408</v>
      </c>
      <c r="O32" s="32" t="str">
        <f t="shared" si="4"/>
        <v>NA</v>
      </c>
      <c r="P32" s="32">
        <f t="shared" si="5"/>
        <v>408</v>
      </c>
      <c r="AB32" s="67" t="s">
        <v>92</v>
      </c>
      <c r="AC32" s="67" t="s">
        <v>74</v>
      </c>
      <c r="AD32" s="67">
        <v>560</v>
      </c>
      <c r="AE32" s="80"/>
    </row>
    <row r="33" spans="2:34" x14ac:dyDescent="0.25">
      <c r="B33" s="32" t="s">
        <v>141</v>
      </c>
      <c r="C33" s="32" t="s">
        <v>142</v>
      </c>
      <c r="D33" s="32">
        <v>15</v>
      </c>
      <c r="E33" s="32">
        <v>53</v>
      </c>
      <c r="F33" s="32">
        <v>0</v>
      </c>
      <c r="G33" s="32">
        <v>433</v>
      </c>
      <c r="H33" s="32">
        <v>15</v>
      </c>
      <c r="I33" s="32">
        <v>28.87</v>
      </c>
      <c r="J33" s="32">
        <v>44610</v>
      </c>
      <c r="K33" s="32">
        <v>8.17</v>
      </c>
      <c r="L33" s="32">
        <v>21.2</v>
      </c>
      <c r="M33" s="32">
        <v>0</v>
      </c>
      <c r="N33" s="32">
        <f t="shared" si="3"/>
        <v>375</v>
      </c>
      <c r="O33" s="32" t="str">
        <f t="shared" si="4"/>
        <v>NA</v>
      </c>
      <c r="P33" s="32">
        <f t="shared" si="5"/>
        <v>375</v>
      </c>
      <c r="AE33" s="80"/>
    </row>
    <row r="34" spans="2:34" ht="18.75" x14ac:dyDescent="0.3">
      <c r="AB34" s="66" t="s">
        <v>316</v>
      </c>
      <c r="AC34" s="66"/>
      <c r="AE34" s="80"/>
    </row>
    <row r="35" spans="2:34" ht="18.75" x14ac:dyDescent="0.3">
      <c r="AB35" s="31" t="s">
        <v>35</v>
      </c>
      <c r="AC35" s="31" t="s">
        <v>36</v>
      </c>
      <c r="AD35" s="31" t="s">
        <v>321</v>
      </c>
      <c r="AE35" s="81"/>
      <c r="AG35" s="31" t="s">
        <v>310</v>
      </c>
      <c r="AH35" s="31" t="s">
        <v>311</v>
      </c>
    </row>
    <row r="36" spans="2:34" x14ac:dyDescent="0.25">
      <c r="AB36" s="56" t="s">
        <v>48</v>
      </c>
      <c r="AC36" s="56" t="s">
        <v>49</v>
      </c>
      <c r="AD36" s="56">
        <v>830</v>
      </c>
      <c r="AE36" s="80"/>
      <c r="AG36" s="52" t="s">
        <v>297</v>
      </c>
      <c r="AH36" s="52">
        <f>AD36*2</f>
        <v>1660</v>
      </c>
    </row>
    <row r="37" spans="2:34" x14ac:dyDescent="0.25">
      <c r="AB37" s="56" t="s">
        <v>51</v>
      </c>
      <c r="AC37" s="56" t="s">
        <v>52</v>
      </c>
      <c r="AD37" s="56">
        <v>773</v>
      </c>
      <c r="AE37" s="80"/>
      <c r="AG37" s="52" t="s">
        <v>298</v>
      </c>
      <c r="AH37" s="52">
        <f>AD37*1.5</f>
        <v>1159.5</v>
      </c>
    </row>
    <row r="38" spans="2:34" x14ac:dyDescent="0.25">
      <c r="AB38" s="67" t="s">
        <v>77</v>
      </c>
      <c r="AC38" s="67" t="s">
        <v>52</v>
      </c>
      <c r="AD38" s="67">
        <v>762</v>
      </c>
      <c r="AE38" s="80"/>
      <c r="AG38" s="52" t="s">
        <v>112</v>
      </c>
      <c r="AH38" s="54">
        <f>SUM(AD38:AD46)+AH36+AH37</f>
        <v>8290.5</v>
      </c>
    </row>
    <row r="39" spans="2:34" x14ac:dyDescent="0.25">
      <c r="AB39" s="56" t="s">
        <v>54</v>
      </c>
      <c r="AC39" s="56" t="s">
        <v>55</v>
      </c>
      <c r="AD39" s="56">
        <v>660</v>
      </c>
    </row>
    <row r="40" spans="2:34" x14ac:dyDescent="0.25">
      <c r="AB40" s="56" t="s">
        <v>57</v>
      </c>
      <c r="AC40" s="56" t="s">
        <v>58</v>
      </c>
      <c r="AD40" s="56">
        <v>644</v>
      </c>
    </row>
    <row r="41" spans="2:34" x14ac:dyDescent="0.25">
      <c r="AB41" s="56" t="s">
        <v>59</v>
      </c>
      <c r="AC41" s="56" t="s">
        <v>58</v>
      </c>
      <c r="AD41" s="56">
        <v>625</v>
      </c>
    </row>
    <row r="42" spans="2:34" x14ac:dyDescent="0.25">
      <c r="AB42" s="56" t="s">
        <v>56</v>
      </c>
      <c r="AC42" s="56" t="s">
        <v>52</v>
      </c>
      <c r="AD42" s="56">
        <v>611</v>
      </c>
    </row>
    <row r="43" spans="2:34" x14ac:dyDescent="0.25">
      <c r="AB43" s="56" t="s">
        <v>60</v>
      </c>
      <c r="AC43" s="56" t="s">
        <v>58</v>
      </c>
      <c r="AD43" s="56">
        <v>595</v>
      </c>
    </row>
    <row r="44" spans="2:34" x14ac:dyDescent="0.25">
      <c r="AB44" s="56" t="s">
        <v>61</v>
      </c>
      <c r="AC44" s="56" t="s">
        <v>62</v>
      </c>
      <c r="AD44" s="56">
        <v>580</v>
      </c>
    </row>
    <row r="45" spans="2:34" x14ac:dyDescent="0.25">
      <c r="AB45" s="67" t="s">
        <v>92</v>
      </c>
      <c r="AC45" s="67" t="s">
        <v>74</v>
      </c>
      <c r="AD45" s="67">
        <v>560</v>
      </c>
    </row>
    <row r="46" spans="2:34" x14ac:dyDescent="0.25">
      <c r="AB46" s="67" t="s">
        <v>93</v>
      </c>
      <c r="AC46" s="67" t="s">
        <v>66</v>
      </c>
      <c r="AD46" s="67">
        <v>434</v>
      </c>
    </row>
    <row r="49" spans="2:34" s="5" customFormat="1" x14ac:dyDescent="0.25"/>
    <row r="50" spans="2:34" s="5" customFormat="1" x14ac:dyDescent="0.25"/>
    <row r="51" spans="2:34" s="5" customFormat="1" x14ac:dyDescent="0.25"/>
    <row r="53" spans="2:34" ht="18.75" x14ac:dyDescent="0.3">
      <c r="B53" s="1" t="s">
        <v>295</v>
      </c>
      <c r="AB53" s="74" t="s">
        <v>331</v>
      </c>
      <c r="AC53" s="64"/>
      <c r="AD53" s="89"/>
      <c r="AE53" s="89"/>
    </row>
    <row r="54" spans="2:34" ht="18.75" x14ac:dyDescent="0.3">
      <c r="B54" s="49">
        <v>2019</v>
      </c>
      <c r="AE54" s="4"/>
    </row>
    <row r="55" spans="2:34" ht="18.75" x14ac:dyDescent="0.3">
      <c r="B55" s="31" t="s">
        <v>35</v>
      </c>
      <c r="C55" s="31" t="s">
        <v>36</v>
      </c>
      <c r="D55" s="31" t="s">
        <v>37</v>
      </c>
      <c r="E55" s="31" t="s">
        <v>38</v>
      </c>
      <c r="F55" s="31" t="s">
        <v>39</v>
      </c>
      <c r="G55" s="31" t="s">
        <v>40</v>
      </c>
      <c r="H55" s="31" t="s">
        <v>41</v>
      </c>
      <c r="I55" s="31" t="s">
        <v>42</v>
      </c>
      <c r="J55" s="31" t="s">
        <v>43</v>
      </c>
      <c r="K55" s="31" t="s">
        <v>44</v>
      </c>
      <c r="L55" s="31" t="s">
        <v>45</v>
      </c>
      <c r="M55" s="31" t="s">
        <v>46</v>
      </c>
      <c r="N55" s="31" t="s">
        <v>47</v>
      </c>
      <c r="O55" s="31" t="s">
        <v>111</v>
      </c>
      <c r="P55" s="31" t="s">
        <v>239</v>
      </c>
      <c r="Q55" s="31" t="s">
        <v>112</v>
      </c>
      <c r="R55" s="31" t="s">
        <v>333</v>
      </c>
      <c r="T55" s="31" t="s">
        <v>310</v>
      </c>
      <c r="U55" s="31" t="s">
        <v>311</v>
      </c>
      <c r="W55" s="50" t="s">
        <v>300</v>
      </c>
      <c r="X55" s="50"/>
      <c r="AB55" s="66" t="s">
        <v>314</v>
      </c>
      <c r="AC55" s="66"/>
      <c r="AE55" s="4"/>
    </row>
    <row r="56" spans="2:34" ht="18.75" x14ac:dyDescent="0.3">
      <c r="B56" s="32" t="s">
        <v>54</v>
      </c>
      <c r="C56" s="32" t="s">
        <v>55</v>
      </c>
      <c r="D56" s="32">
        <v>12</v>
      </c>
      <c r="E56" s="32">
        <v>12</v>
      </c>
      <c r="F56" s="32">
        <v>2</v>
      </c>
      <c r="G56" s="32">
        <v>692</v>
      </c>
      <c r="H56" s="32">
        <v>100</v>
      </c>
      <c r="I56" s="32">
        <v>1</v>
      </c>
      <c r="J56" s="32">
        <v>8</v>
      </c>
      <c r="K56" s="32">
        <v>69.2</v>
      </c>
      <c r="L56" s="32">
        <v>143.87</v>
      </c>
      <c r="M56" s="32">
        <v>57</v>
      </c>
      <c r="N56" s="32">
        <v>21</v>
      </c>
      <c r="O56" s="32">
        <f t="shared" ref="O56:O66" si="6">((G56*1)+(I56*16) +(J56*8)+(M56*1)+(N56*2))</f>
        <v>871</v>
      </c>
      <c r="P56" s="32" t="str">
        <f t="shared" ref="P56:P66" si="7">IF(AND(L56&gt;=60,L56&lt;=70),-1,IF(AND(L56&gt;=50,L56&lt;=59.9),-4,IF(L56&lt;50,-6,"NA")))</f>
        <v>NA</v>
      </c>
      <c r="Q56" s="32">
        <f t="shared" ref="Q56:Q66" si="8">IFERROR(O56+P56,O56)</f>
        <v>871</v>
      </c>
      <c r="R56" s="32" t="str">
        <f>IFERROR(VLOOKUP(B56,'Bowlers 19'!$A$1:$O$51,1,0),"NA")</f>
        <v>NA</v>
      </c>
      <c r="T56" s="53" t="s">
        <v>297</v>
      </c>
      <c r="U56" s="53">
        <f>Q56*2</f>
        <v>1742</v>
      </c>
      <c r="W56" s="31" t="s">
        <v>35</v>
      </c>
      <c r="X56" s="31" t="s">
        <v>36</v>
      </c>
      <c r="Y56" s="31" t="s">
        <v>335</v>
      </c>
      <c r="AB56" s="31" t="s">
        <v>35</v>
      </c>
      <c r="AC56" s="31" t="s">
        <v>36</v>
      </c>
      <c r="AD56" s="31" t="s">
        <v>321</v>
      </c>
      <c r="AE56" s="4"/>
      <c r="AG56" s="31" t="s">
        <v>310</v>
      </c>
      <c r="AH56" s="31" t="s">
        <v>311</v>
      </c>
    </row>
    <row r="57" spans="2:34" x14ac:dyDescent="0.25">
      <c r="B57" s="32" t="s">
        <v>48</v>
      </c>
      <c r="C57" s="32" t="s">
        <v>49</v>
      </c>
      <c r="D57" s="32">
        <v>14</v>
      </c>
      <c r="E57" s="32">
        <v>14</v>
      </c>
      <c r="F57" s="32">
        <v>3</v>
      </c>
      <c r="G57" s="32">
        <v>593</v>
      </c>
      <c r="H57" s="32">
        <v>100</v>
      </c>
      <c r="I57" s="32">
        <v>1</v>
      </c>
      <c r="J57" s="32">
        <v>6</v>
      </c>
      <c r="K57" s="32">
        <v>53.91</v>
      </c>
      <c r="L57" s="32">
        <v>135.38999999999999</v>
      </c>
      <c r="M57" s="32">
        <v>49</v>
      </c>
      <c r="N57" s="32">
        <v>25</v>
      </c>
      <c r="O57" s="32">
        <f t="shared" si="6"/>
        <v>756</v>
      </c>
      <c r="P57" s="32" t="str">
        <f t="shared" si="7"/>
        <v>NA</v>
      </c>
      <c r="Q57" s="32">
        <f t="shared" si="8"/>
        <v>756</v>
      </c>
      <c r="R57" s="32" t="str">
        <f>IFERROR(VLOOKUP(B57,'Bowlers 19'!$A$1:$O$51,1,0),"NA")</f>
        <v>NA</v>
      </c>
      <c r="T57" s="53" t="s">
        <v>298</v>
      </c>
      <c r="U57" s="53">
        <f>Q57*1.5</f>
        <v>1134</v>
      </c>
      <c r="W57" s="32" t="s">
        <v>110</v>
      </c>
      <c r="X57" s="32" t="s">
        <v>68</v>
      </c>
      <c r="Y57" s="32">
        <v>950</v>
      </c>
      <c r="AB57" s="56" t="s">
        <v>54</v>
      </c>
      <c r="AC57" s="56" t="s">
        <v>55</v>
      </c>
      <c r="AD57" s="56">
        <v>871</v>
      </c>
      <c r="AG57" s="53" t="s">
        <v>297</v>
      </c>
      <c r="AH57" s="53">
        <f>AD57*2</f>
        <v>1742</v>
      </c>
    </row>
    <row r="58" spans="2:34" x14ac:dyDescent="0.25">
      <c r="B58" s="32" t="s">
        <v>110</v>
      </c>
      <c r="C58" s="32" t="s">
        <v>68</v>
      </c>
      <c r="D58" s="32">
        <v>14</v>
      </c>
      <c r="E58" s="32">
        <v>13</v>
      </c>
      <c r="F58" s="32">
        <v>4</v>
      </c>
      <c r="G58" s="32">
        <v>510</v>
      </c>
      <c r="H58" s="32">
        <v>80</v>
      </c>
      <c r="I58" s="32">
        <v>0</v>
      </c>
      <c r="J58" s="32">
        <v>4</v>
      </c>
      <c r="K58" s="32">
        <v>56.67</v>
      </c>
      <c r="L58" s="32">
        <v>204.82</v>
      </c>
      <c r="M58" s="32">
        <v>31</v>
      </c>
      <c r="N58" s="32">
        <v>52</v>
      </c>
      <c r="O58" s="32">
        <f t="shared" si="6"/>
        <v>677</v>
      </c>
      <c r="P58" s="32" t="str">
        <f t="shared" si="7"/>
        <v>NA</v>
      </c>
      <c r="Q58" s="32">
        <f t="shared" si="8"/>
        <v>677</v>
      </c>
      <c r="R58" s="32" t="str">
        <f>IFERROR(VLOOKUP(B58,'Bowlers 19'!$A$1:$O$51,1,0),"NA")</f>
        <v>A D Russell</v>
      </c>
      <c r="T58" s="53" t="s">
        <v>112</v>
      </c>
      <c r="U58" s="54">
        <f>SUM(Q58:Q66)+U56+U57</f>
        <v>8344</v>
      </c>
      <c r="W58" s="32" t="s">
        <v>89</v>
      </c>
      <c r="X58" s="32" t="s">
        <v>58</v>
      </c>
      <c r="Y58" s="32">
        <v>844</v>
      </c>
      <c r="AB58" s="67" t="s">
        <v>89</v>
      </c>
      <c r="AC58" s="67" t="s">
        <v>58</v>
      </c>
      <c r="AD58" s="67">
        <v>844</v>
      </c>
      <c r="AG58" s="53" t="s">
        <v>298</v>
      </c>
      <c r="AH58" s="53">
        <f>AD58*1.5</f>
        <v>1266</v>
      </c>
    </row>
    <row r="59" spans="2:34" ht="18.75" x14ac:dyDescent="0.3">
      <c r="B59" s="32" t="s">
        <v>59</v>
      </c>
      <c r="C59" s="32" t="s">
        <v>58</v>
      </c>
      <c r="D59" s="32">
        <v>16</v>
      </c>
      <c r="E59" s="32">
        <v>16</v>
      </c>
      <c r="F59" s="32">
        <v>1</v>
      </c>
      <c r="G59" s="32">
        <v>529</v>
      </c>
      <c r="H59" s="32">
        <v>81</v>
      </c>
      <c r="I59" s="32">
        <v>0</v>
      </c>
      <c r="J59" s="32">
        <v>4</v>
      </c>
      <c r="K59" s="32">
        <v>35.270000000000003</v>
      </c>
      <c r="L59" s="32">
        <v>132.91</v>
      </c>
      <c r="M59" s="32">
        <v>45</v>
      </c>
      <c r="N59" s="32">
        <v>25</v>
      </c>
      <c r="O59" s="32">
        <f t="shared" si="6"/>
        <v>656</v>
      </c>
      <c r="P59" s="32" t="str">
        <f t="shared" si="7"/>
        <v>NA</v>
      </c>
      <c r="Q59" s="32">
        <f t="shared" si="8"/>
        <v>656</v>
      </c>
      <c r="R59" s="32" t="str">
        <f>IFERROR(VLOOKUP(B59,'Bowlers 19'!$A$1:$O$51,1,0),"NA")</f>
        <v>NA</v>
      </c>
      <c r="T59" s="1"/>
      <c r="W59" s="32" t="s">
        <v>93</v>
      </c>
      <c r="X59" s="32" t="s">
        <v>66</v>
      </c>
      <c r="Y59" s="32">
        <v>504</v>
      </c>
      <c r="AB59" s="56" t="s">
        <v>48</v>
      </c>
      <c r="AC59" s="56" t="s">
        <v>49</v>
      </c>
      <c r="AD59" s="56">
        <v>756</v>
      </c>
      <c r="AG59" s="53" t="s">
        <v>112</v>
      </c>
      <c r="AH59" s="54">
        <f>SUM(AD59:AD67)+AH57+AH58</f>
        <v>8565</v>
      </c>
    </row>
    <row r="60" spans="2:34" x14ac:dyDescent="0.25">
      <c r="B60" s="32" t="s">
        <v>51</v>
      </c>
      <c r="C60" s="32" t="s">
        <v>52</v>
      </c>
      <c r="D60" s="32">
        <v>16</v>
      </c>
      <c r="E60" s="32">
        <v>16</v>
      </c>
      <c r="F60" s="32">
        <v>1</v>
      </c>
      <c r="G60" s="32">
        <v>521</v>
      </c>
      <c r="H60" s="32">
        <v>97</v>
      </c>
      <c r="I60" s="32">
        <v>0</v>
      </c>
      <c r="J60" s="32">
        <v>5</v>
      </c>
      <c r="K60" s="32">
        <v>34.729999999999997</v>
      </c>
      <c r="L60" s="32">
        <v>135.68</v>
      </c>
      <c r="M60" s="32">
        <v>64</v>
      </c>
      <c r="N60" s="32">
        <v>11</v>
      </c>
      <c r="O60" s="32">
        <f t="shared" si="6"/>
        <v>647</v>
      </c>
      <c r="P60" s="32" t="str">
        <f t="shared" si="7"/>
        <v>NA</v>
      </c>
      <c r="Q60" s="32">
        <f t="shared" si="8"/>
        <v>647</v>
      </c>
      <c r="R60" s="32" t="str">
        <f>IFERROR(VLOOKUP(B60,'Bowlers 19'!$A$1:$O$51,1,0),"NA")</f>
        <v>NA</v>
      </c>
      <c r="W60" s="32" t="s">
        <v>249</v>
      </c>
      <c r="X60" s="32" t="s">
        <v>62</v>
      </c>
      <c r="Y60" s="32">
        <v>436</v>
      </c>
      <c r="AB60" s="56" t="s">
        <v>110</v>
      </c>
      <c r="AC60" s="56" t="s">
        <v>68</v>
      </c>
      <c r="AD60" s="56">
        <v>677</v>
      </c>
    </row>
    <row r="61" spans="2:34" x14ac:dyDescent="0.25">
      <c r="B61" s="32" t="s">
        <v>86</v>
      </c>
      <c r="C61" s="32" t="s">
        <v>49</v>
      </c>
      <c r="D61" s="32">
        <v>13</v>
      </c>
      <c r="E61" s="32">
        <v>13</v>
      </c>
      <c r="F61" s="32">
        <v>1</v>
      </c>
      <c r="G61" s="32">
        <v>490</v>
      </c>
      <c r="H61" s="32">
        <v>99</v>
      </c>
      <c r="I61" s="32">
        <v>0</v>
      </c>
      <c r="J61" s="32">
        <v>4</v>
      </c>
      <c r="K61" s="32">
        <v>40.83</v>
      </c>
      <c r="L61" s="32">
        <v>153.61000000000001</v>
      </c>
      <c r="M61" s="32">
        <v>45</v>
      </c>
      <c r="N61" s="32">
        <v>34</v>
      </c>
      <c r="O61" s="32">
        <f t="shared" si="6"/>
        <v>635</v>
      </c>
      <c r="P61" s="32" t="str">
        <f t="shared" si="7"/>
        <v>NA</v>
      </c>
      <c r="Q61" s="32">
        <f t="shared" si="8"/>
        <v>635</v>
      </c>
      <c r="R61" s="32" t="str">
        <f>IFERROR(VLOOKUP(B61,'Bowlers 19'!$A$1:$O$51,1,0),"NA")</f>
        <v>NA</v>
      </c>
      <c r="W61" s="32" t="s">
        <v>87</v>
      </c>
      <c r="X61" s="32" t="s">
        <v>74</v>
      </c>
      <c r="Y61" s="32">
        <v>283</v>
      </c>
      <c r="AB61" s="70" t="s">
        <v>256</v>
      </c>
      <c r="AC61" s="70" t="s">
        <v>257</v>
      </c>
      <c r="AD61" s="70">
        <v>674</v>
      </c>
    </row>
    <row r="62" spans="2:34" x14ac:dyDescent="0.25">
      <c r="B62" s="32" t="s">
        <v>80</v>
      </c>
      <c r="C62" s="32" t="s">
        <v>52</v>
      </c>
      <c r="D62" s="32">
        <v>16</v>
      </c>
      <c r="E62" s="32">
        <v>16</v>
      </c>
      <c r="F62" s="32">
        <v>3</v>
      </c>
      <c r="G62" s="32">
        <v>488</v>
      </c>
      <c r="H62" s="32">
        <v>78</v>
      </c>
      <c r="I62" s="32">
        <v>0</v>
      </c>
      <c r="J62" s="32">
        <v>3</v>
      </c>
      <c r="K62" s="32">
        <v>37.54</v>
      </c>
      <c r="L62" s="32">
        <v>162.66999999999999</v>
      </c>
      <c r="M62" s="32">
        <v>37</v>
      </c>
      <c r="N62" s="32">
        <v>27</v>
      </c>
      <c r="O62" s="32">
        <f t="shared" si="6"/>
        <v>603</v>
      </c>
      <c r="P62" s="32" t="str">
        <f t="shared" si="7"/>
        <v>NA</v>
      </c>
      <c r="Q62" s="32">
        <f t="shared" si="8"/>
        <v>603</v>
      </c>
      <c r="R62" s="32" t="str">
        <f>IFERROR(VLOOKUP(B62,'Bowlers 19'!$A$1:$O$51,1,0),"NA")</f>
        <v>NA</v>
      </c>
      <c r="W62" s="32" t="s">
        <v>255</v>
      </c>
      <c r="X62" s="32" t="s">
        <v>55</v>
      </c>
      <c r="Y62" s="32">
        <v>345</v>
      </c>
      <c r="AB62" s="56" t="s">
        <v>59</v>
      </c>
      <c r="AC62" s="56" t="s">
        <v>58</v>
      </c>
      <c r="AD62" s="56">
        <v>656</v>
      </c>
    </row>
    <row r="63" spans="2:34" x14ac:dyDescent="0.25">
      <c r="B63" s="32" t="s">
        <v>63</v>
      </c>
      <c r="C63" s="32" t="s">
        <v>62</v>
      </c>
      <c r="D63" s="32">
        <v>14</v>
      </c>
      <c r="E63" s="32">
        <v>14</v>
      </c>
      <c r="F63" s="32">
        <v>0</v>
      </c>
      <c r="G63" s="32">
        <v>464</v>
      </c>
      <c r="H63" s="32">
        <v>100</v>
      </c>
      <c r="I63" s="32">
        <v>1</v>
      </c>
      <c r="J63" s="32">
        <v>2</v>
      </c>
      <c r="K63" s="32">
        <v>33.14</v>
      </c>
      <c r="L63" s="32">
        <v>141.46</v>
      </c>
      <c r="M63" s="32">
        <v>46</v>
      </c>
      <c r="N63" s="32">
        <v>13</v>
      </c>
      <c r="O63" s="32">
        <f t="shared" si="6"/>
        <v>568</v>
      </c>
      <c r="P63" s="32" t="str">
        <f t="shared" si="7"/>
        <v>NA</v>
      </c>
      <c r="Q63" s="32">
        <f t="shared" si="8"/>
        <v>568</v>
      </c>
      <c r="R63" s="32" t="str">
        <f>IFERROR(VLOOKUP(B63,'Bowlers 19'!$A$1:$O$51,1,0),"NA")</f>
        <v>NA</v>
      </c>
      <c r="AB63" s="56" t="s">
        <v>51</v>
      </c>
      <c r="AC63" s="56" t="s">
        <v>52</v>
      </c>
      <c r="AD63" s="56">
        <v>647</v>
      </c>
    </row>
    <row r="64" spans="2:34" x14ac:dyDescent="0.25">
      <c r="B64" s="32" t="s">
        <v>64</v>
      </c>
      <c r="C64" s="32" t="s">
        <v>62</v>
      </c>
      <c r="D64" s="32">
        <v>13</v>
      </c>
      <c r="E64" s="32">
        <v>13</v>
      </c>
      <c r="F64" s="32">
        <v>3</v>
      </c>
      <c r="G64" s="32">
        <v>442</v>
      </c>
      <c r="H64" s="32">
        <v>82</v>
      </c>
      <c r="I64" s="32">
        <v>0</v>
      </c>
      <c r="J64" s="32">
        <v>5</v>
      </c>
      <c r="K64" s="32">
        <v>44.2</v>
      </c>
      <c r="L64" s="32">
        <v>154.01</v>
      </c>
      <c r="M64" s="32">
        <v>31</v>
      </c>
      <c r="N64" s="32">
        <v>26</v>
      </c>
      <c r="O64" s="32">
        <f t="shared" si="6"/>
        <v>565</v>
      </c>
      <c r="P64" s="32" t="str">
        <f t="shared" si="7"/>
        <v>NA</v>
      </c>
      <c r="Q64" s="32">
        <f t="shared" si="8"/>
        <v>565</v>
      </c>
      <c r="R64" s="32" t="str">
        <f>IFERROR(VLOOKUP(B64,'Bowlers 19'!$A$1:$O$51,1,0),"NA")</f>
        <v>NA</v>
      </c>
      <c r="AB64" s="70" t="s">
        <v>121</v>
      </c>
      <c r="AC64" s="70" t="s">
        <v>122</v>
      </c>
      <c r="AD64" s="70">
        <v>641</v>
      </c>
    </row>
    <row r="65" spans="2:34" x14ac:dyDescent="0.25">
      <c r="B65" s="32" t="s">
        <v>79</v>
      </c>
      <c r="C65" s="32" t="s">
        <v>55</v>
      </c>
      <c r="D65" s="32">
        <v>10</v>
      </c>
      <c r="E65" s="32">
        <v>10</v>
      </c>
      <c r="F65" s="32">
        <v>2</v>
      </c>
      <c r="G65" s="32">
        <v>445</v>
      </c>
      <c r="H65" s="32">
        <v>114</v>
      </c>
      <c r="I65" s="32">
        <v>1</v>
      </c>
      <c r="J65" s="32">
        <v>2</v>
      </c>
      <c r="K65" s="32">
        <v>55.63</v>
      </c>
      <c r="L65" s="32">
        <v>157.24</v>
      </c>
      <c r="M65" s="32">
        <v>48</v>
      </c>
      <c r="N65" s="32">
        <v>18</v>
      </c>
      <c r="O65" s="32">
        <f t="shared" si="6"/>
        <v>561</v>
      </c>
      <c r="P65" s="32" t="str">
        <f t="shared" si="7"/>
        <v>NA</v>
      </c>
      <c r="Q65" s="32">
        <f t="shared" si="8"/>
        <v>561</v>
      </c>
      <c r="R65" s="32" t="str">
        <f>IFERROR(VLOOKUP(B65,'Bowlers 19'!$A$1:$O$51,1,0),"NA")</f>
        <v>NA</v>
      </c>
      <c r="AB65" s="70" t="s">
        <v>150</v>
      </c>
      <c r="AC65" s="70" t="s">
        <v>151</v>
      </c>
      <c r="AD65" s="70">
        <v>566</v>
      </c>
    </row>
    <row r="66" spans="2:34" x14ac:dyDescent="0.25">
      <c r="B66" s="32" t="s">
        <v>56</v>
      </c>
      <c r="C66" s="32" t="s">
        <v>52</v>
      </c>
      <c r="D66" s="32">
        <v>16</v>
      </c>
      <c r="E66" s="32">
        <v>16</v>
      </c>
      <c r="F66" s="32">
        <v>1</v>
      </c>
      <c r="G66" s="32">
        <v>463</v>
      </c>
      <c r="H66" s="32">
        <v>67</v>
      </c>
      <c r="I66" s="32">
        <v>0</v>
      </c>
      <c r="J66" s="32">
        <v>3</v>
      </c>
      <c r="K66" s="32">
        <v>30.87</v>
      </c>
      <c r="L66" s="32">
        <v>119.95</v>
      </c>
      <c r="M66" s="32">
        <v>41</v>
      </c>
      <c r="N66" s="32">
        <v>14</v>
      </c>
      <c r="O66" s="32">
        <f t="shared" si="6"/>
        <v>556</v>
      </c>
      <c r="P66" s="32" t="str">
        <f t="shared" si="7"/>
        <v>NA</v>
      </c>
      <c r="Q66" s="32">
        <f t="shared" si="8"/>
        <v>556</v>
      </c>
      <c r="R66" s="32" t="str">
        <f>IFERROR(VLOOKUP(B66,'Bowlers 19'!$A$1:$O$51,1,0),"NA")</f>
        <v>NA</v>
      </c>
      <c r="AB66" s="67" t="s">
        <v>93</v>
      </c>
      <c r="AC66" s="67" t="s">
        <v>66</v>
      </c>
      <c r="AD66" s="67">
        <v>504</v>
      </c>
    </row>
    <row r="67" spans="2:34" x14ac:dyDescent="0.25">
      <c r="AB67" s="67" t="s">
        <v>249</v>
      </c>
      <c r="AC67" s="67" t="s">
        <v>62</v>
      </c>
      <c r="AD67" s="67">
        <v>436</v>
      </c>
    </row>
    <row r="68" spans="2:34" ht="18.75" x14ac:dyDescent="0.3">
      <c r="B68" s="1" t="s">
        <v>296</v>
      </c>
    </row>
    <row r="69" spans="2:34" ht="18.75" x14ac:dyDescent="0.3">
      <c r="B69" s="49">
        <v>2019</v>
      </c>
      <c r="AB69" s="66" t="s">
        <v>315</v>
      </c>
      <c r="AC69" s="66"/>
    </row>
    <row r="70" spans="2:34" ht="18.75" x14ac:dyDescent="0.3">
      <c r="B70" s="31" t="s">
        <v>35</v>
      </c>
      <c r="C70" s="31" t="s">
        <v>36</v>
      </c>
      <c r="D70" s="31" t="s">
        <v>114</v>
      </c>
      <c r="E70" s="31" t="s">
        <v>115</v>
      </c>
      <c r="F70" s="31" t="s">
        <v>116</v>
      </c>
      <c r="G70" s="31" t="s">
        <v>40</v>
      </c>
      <c r="H70" s="31" t="s">
        <v>117</v>
      </c>
      <c r="I70" s="31" t="s">
        <v>44</v>
      </c>
      <c r="J70" s="31" t="s">
        <v>118</v>
      </c>
      <c r="K70" s="31" t="s">
        <v>119</v>
      </c>
      <c r="L70" s="31" t="s">
        <v>45</v>
      </c>
      <c r="M70" s="31" t="s">
        <v>120</v>
      </c>
      <c r="N70" s="31" t="s">
        <v>238</v>
      </c>
      <c r="O70" s="31" t="s">
        <v>292</v>
      </c>
      <c r="P70" s="31" t="s">
        <v>112</v>
      </c>
      <c r="T70" s="31" t="s">
        <v>310</v>
      </c>
      <c r="U70" s="31" t="s">
        <v>311</v>
      </c>
      <c r="W70" s="56"/>
      <c r="X70" s="32" t="s">
        <v>317</v>
      </c>
      <c r="AB70" s="31" t="s">
        <v>35</v>
      </c>
      <c r="AC70" s="31" t="s">
        <v>36</v>
      </c>
      <c r="AD70" s="31" t="s">
        <v>321</v>
      </c>
      <c r="AG70" s="31" t="s">
        <v>310</v>
      </c>
      <c r="AH70" s="31" t="s">
        <v>311</v>
      </c>
    </row>
    <row r="71" spans="2:34" x14ac:dyDescent="0.25">
      <c r="B71" s="32" t="s">
        <v>256</v>
      </c>
      <c r="C71" s="32" t="s">
        <v>257</v>
      </c>
      <c r="D71" s="32">
        <v>17</v>
      </c>
      <c r="E71" s="32">
        <v>64.2</v>
      </c>
      <c r="F71" s="32">
        <v>1</v>
      </c>
      <c r="G71" s="32">
        <v>431</v>
      </c>
      <c r="H71" s="32">
        <v>26</v>
      </c>
      <c r="I71" s="32">
        <v>16.579999999999998</v>
      </c>
      <c r="J71" s="32">
        <v>44663</v>
      </c>
      <c r="K71" s="32">
        <v>6.7</v>
      </c>
      <c r="L71" s="32">
        <v>14.85</v>
      </c>
      <c r="M71" s="32">
        <v>2</v>
      </c>
      <c r="N71" s="32">
        <f>((H71*25)+(M71*8)+(F71*8))</f>
        <v>674</v>
      </c>
      <c r="O71" s="32" t="str">
        <f>IF(K71&lt;4,6,IF(AND(K71&gt;=4,K71&lt;=4.99),4,IF(AND(K71&gt;=5,K71&lt;=6),2,IF(AND(K71&gt;=9,K71&lt;=10),-2,IF(AND(K71&gt;=10.01,K71&lt;=11),-4,IF(K71&gt;11,-6,"NA"))))))</f>
        <v>NA</v>
      </c>
      <c r="P71" s="32">
        <f>IFERROR(N71+O71,N71)</f>
        <v>674</v>
      </c>
      <c r="T71" s="53" t="s">
        <v>297</v>
      </c>
      <c r="U71" s="53">
        <f>P71*2</f>
        <v>1348</v>
      </c>
      <c r="W71" s="70"/>
      <c r="X71" s="32" t="s">
        <v>318</v>
      </c>
      <c r="AB71" s="56" t="s">
        <v>54</v>
      </c>
      <c r="AC71" s="56" t="s">
        <v>55</v>
      </c>
      <c r="AD71" s="56">
        <v>871</v>
      </c>
      <c r="AG71" s="53" t="s">
        <v>297</v>
      </c>
      <c r="AH71" s="53">
        <f>AD71*2</f>
        <v>1742</v>
      </c>
    </row>
    <row r="72" spans="2:34" x14ac:dyDescent="0.25">
      <c r="B72" s="32" t="s">
        <v>121</v>
      </c>
      <c r="C72" s="32" t="s">
        <v>122</v>
      </c>
      <c r="D72" s="32">
        <v>12</v>
      </c>
      <c r="E72" s="32">
        <v>46</v>
      </c>
      <c r="F72" s="32">
        <v>0</v>
      </c>
      <c r="G72" s="32">
        <v>368</v>
      </c>
      <c r="H72" s="32">
        <v>25</v>
      </c>
      <c r="I72" s="32">
        <v>14.72</v>
      </c>
      <c r="J72" s="32">
        <v>44672</v>
      </c>
      <c r="K72" s="32">
        <v>7.83</v>
      </c>
      <c r="L72" s="32">
        <v>11.28</v>
      </c>
      <c r="M72" s="32">
        <v>2</v>
      </c>
      <c r="N72" s="32">
        <f t="shared" ref="N72:N81" si="9">((H72*25)+(M72*8)+(F72*8))</f>
        <v>641</v>
      </c>
      <c r="O72" s="32" t="str">
        <f t="shared" ref="O72:O81" si="10">IF(K72&lt;4,6,IF(AND(K72&gt;=4,K72&lt;=4.99),4,IF(AND(K72&gt;=5,K72&lt;=6),2,IF(AND(K72&gt;=9,K72&lt;=10),-2,IF(AND(K72&gt;=10.01,K72&lt;=11),-4,IF(K72&gt;11,-6,"NA"))))))</f>
        <v>NA</v>
      </c>
      <c r="P72" s="32">
        <f t="shared" ref="P72:P81" si="11">IFERROR(N72+O72,N72)</f>
        <v>641</v>
      </c>
      <c r="T72" s="53" t="s">
        <v>298</v>
      </c>
      <c r="U72" s="53">
        <f>P72*1.5</f>
        <v>961.5</v>
      </c>
      <c r="W72" s="67"/>
      <c r="X72" s="32" t="s">
        <v>308</v>
      </c>
      <c r="AB72" s="67" t="s">
        <v>89</v>
      </c>
      <c r="AC72" s="67" t="s">
        <v>58</v>
      </c>
      <c r="AD72" s="67">
        <v>844</v>
      </c>
      <c r="AG72" s="53" t="s">
        <v>298</v>
      </c>
      <c r="AH72" s="53">
        <f>AD72*1.5</f>
        <v>1266</v>
      </c>
    </row>
    <row r="73" spans="2:34" x14ac:dyDescent="0.25">
      <c r="B73" s="32" t="s">
        <v>150</v>
      </c>
      <c r="C73" s="32" t="s">
        <v>151</v>
      </c>
      <c r="D73" s="32">
        <v>17</v>
      </c>
      <c r="E73" s="32">
        <v>64.3</v>
      </c>
      <c r="F73" s="32">
        <v>2</v>
      </c>
      <c r="G73" s="32">
        <v>482</v>
      </c>
      <c r="H73" s="32">
        <v>22</v>
      </c>
      <c r="I73" s="32">
        <v>21.91</v>
      </c>
      <c r="J73" s="32">
        <v>44640</v>
      </c>
      <c r="K73" s="32">
        <v>7.47</v>
      </c>
      <c r="L73" s="32">
        <v>17.59</v>
      </c>
      <c r="M73" s="32">
        <v>0</v>
      </c>
      <c r="N73" s="32">
        <f t="shared" si="9"/>
        <v>566</v>
      </c>
      <c r="O73" s="32" t="str">
        <f t="shared" si="10"/>
        <v>NA</v>
      </c>
      <c r="P73" s="32">
        <f t="shared" si="11"/>
        <v>566</v>
      </c>
      <c r="T73" s="53" t="s">
        <v>112</v>
      </c>
      <c r="U73" s="54">
        <f>SUM(P73:P81)+U71+U72</f>
        <v>6537.5</v>
      </c>
      <c r="AB73" s="56" t="s">
        <v>48</v>
      </c>
      <c r="AC73" s="56" t="s">
        <v>49</v>
      </c>
      <c r="AD73" s="56">
        <v>756</v>
      </c>
      <c r="AG73" s="53" t="s">
        <v>112</v>
      </c>
      <c r="AH73" s="54">
        <f>SUM(AD73:AD81)+AH71+AH72</f>
        <v>8801</v>
      </c>
    </row>
    <row r="74" spans="2:34" x14ac:dyDescent="0.25">
      <c r="B74" s="32" t="s">
        <v>164</v>
      </c>
      <c r="C74" s="32" t="s">
        <v>165</v>
      </c>
      <c r="D74" s="32">
        <v>14</v>
      </c>
      <c r="E74" s="32">
        <v>47</v>
      </c>
      <c r="F74" s="32">
        <v>1</v>
      </c>
      <c r="G74" s="32">
        <v>346</v>
      </c>
      <c r="H74" s="32">
        <v>20</v>
      </c>
      <c r="I74" s="32">
        <v>17.3</v>
      </c>
      <c r="J74" s="32">
        <v>44632</v>
      </c>
      <c r="K74" s="32">
        <v>7.36</v>
      </c>
      <c r="L74" s="32">
        <v>14.1</v>
      </c>
      <c r="M74" s="32">
        <v>0</v>
      </c>
      <c r="N74" s="32">
        <f t="shared" si="9"/>
        <v>508</v>
      </c>
      <c r="O74" s="32" t="str">
        <f t="shared" si="10"/>
        <v>NA</v>
      </c>
      <c r="P74" s="32">
        <f t="shared" si="11"/>
        <v>508</v>
      </c>
      <c r="AB74" s="56" t="s">
        <v>110</v>
      </c>
      <c r="AC74" s="56" t="s">
        <v>68</v>
      </c>
      <c r="AD74" s="56">
        <v>677</v>
      </c>
    </row>
    <row r="75" spans="2:34" x14ac:dyDescent="0.25">
      <c r="B75" s="32" t="s">
        <v>182</v>
      </c>
      <c r="C75" s="32" t="s">
        <v>183</v>
      </c>
      <c r="D75" s="32">
        <v>9</v>
      </c>
      <c r="E75" s="32">
        <v>34.5</v>
      </c>
      <c r="F75" s="32">
        <v>0</v>
      </c>
      <c r="G75" s="32">
        <v>287</v>
      </c>
      <c r="H75" s="32">
        <v>19</v>
      </c>
      <c r="I75" s="32">
        <v>15.11</v>
      </c>
      <c r="J75" s="32">
        <v>44650</v>
      </c>
      <c r="K75" s="32">
        <v>8.24</v>
      </c>
      <c r="L75" s="32">
        <v>11</v>
      </c>
      <c r="M75" s="32">
        <v>0</v>
      </c>
      <c r="N75" s="32">
        <f t="shared" si="9"/>
        <v>475</v>
      </c>
      <c r="O75" s="32" t="str">
        <f t="shared" si="10"/>
        <v>NA</v>
      </c>
      <c r="P75" s="32">
        <f t="shared" si="11"/>
        <v>475</v>
      </c>
      <c r="AB75" s="70" t="s">
        <v>256</v>
      </c>
      <c r="AC75" s="70" t="s">
        <v>257</v>
      </c>
      <c r="AD75" s="70">
        <v>674</v>
      </c>
    </row>
    <row r="76" spans="2:34" x14ac:dyDescent="0.25">
      <c r="B76" s="32" t="s">
        <v>131</v>
      </c>
      <c r="C76" s="32" t="s">
        <v>132</v>
      </c>
      <c r="D76" s="32">
        <v>14</v>
      </c>
      <c r="E76" s="32">
        <v>54</v>
      </c>
      <c r="F76" s="32">
        <v>0</v>
      </c>
      <c r="G76" s="32">
        <v>469</v>
      </c>
      <c r="H76" s="32">
        <v>19</v>
      </c>
      <c r="I76" s="32">
        <v>24.68</v>
      </c>
      <c r="J76" s="32">
        <v>44641</v>
      </c>
      <c r="K76" s="32">
        <v>8.69</v>
      </c>
      <c r="L76" s="32">
        <v>17.05</v>
      </c>
      <c r="M76" s="32">
        <v>0</v>
      </c>
      <c r="N76" s="32">
        <f t="shared" si="9"/>
        <v>475</v>
      </c>
      <c r="O76" s="32" t="str">
        <f t="shared" si="10"/>
        <v>NA</v>
      </c>
      <c r="P76" s="32">
        <f t="shared" si="11"/>
        <v>475</v>
      </c>
      <c r="AB76" s="56" t="s">
        <v>59</v>
      </c>
      <c r="AC76" s="56" t="s">
        <v>58</v>
      </c>
      <c r="AD76" s="56">
        <v>656</v>
      </c>
    </row>
    <row r="77" spans="2:34" x14ac:dyDescent="0.25">
      <c r="B77" s="32" t="s">
        <v>123</v>
      </c>
      <c r="C77" s="32" t="s">
        <v>124</v>
      </c>
      <c r="D77" s="32">
        <v>16</v>
      </c>
      <c r="E77" s="32">
        <v>61.4</v>
      </c>
      <c r="F77" s="32">
        <v>1</v>
      </c>
      <c r="G77" s="32">
        <v>409</v>
      </c>
      <c r="H77" s="32">
        <v>19</v>
      </c>
      <c r="I77" s="32">
        <v>21.53</v>
      </c>
      <c r="J77" s="32">
        <v>44640</v>
      </c>
      <c r="K77" s="32">
        <v>6.63</v>
      </c>
      <c r="L77" s="32">
        <v>19.47</v>
      </c>
      <c r="M77" s="32">
        <v>0</v>
      </c>
      <c r="N77" s="32">
        <f t="shared" si="9"/>
        <v>483</v>
      </c>
      <c r="O77" s="32" t="str">
        <f t="shared" si="10"/>
        <v>NA</v>
      </c>
      <c r="P77" s="32">
        <f t="shared" si="11"/>
        <v>483</v>
      </c>
      <c r="AB77" s="56" t="s">
        <v>51</v>
      </c>
      <c r="AC77" s="56" t="s">
        <v>52</v>
      </c>
      <c r="AD77" s="56">
        <v>647</v>
      </c>
    </row>
    <row r="78" spans="2:34" x14ac:dyDescent="0.25">
      <c r="B78" s="32" t="s">
        <v>129</v>
      </c>
      <c r="C78" s="32" t="s">
        <v>130</v>
      </c>
      <c r="D78" s="32">
        <v>14</v>
      </c>
      <c r="E78" s="32">
        <v>49.2</v>
      </c>
      <c r="F78" s="32">
        <v>1</v>
      </c>
      <c r="G78" s="32">
        <v>386</v>
      </c>
      <c r="H78" s="32">
        <v>18</v>
      </c>
      <c r="I78" s="32">
        <v>21.44</v>
      </c>
      <c r="J78" s="32">
        <v>13971</v>
      </c>
      <c r="K78" s="32">
        <v>7.82</v>
      </c>
      <c r="L78" s="32">
        <v>16.440000000000001</v>
      </c>
      <c r="M78" s="32">
        <v>1</v>
      </c>
      <c r="N78" s="32">
        <f t="shared" si="9"/>
        <v>466</v>
      </c>
      <c r="O78" s="32" t="str">
        <f t="shared" si="10"/>
        <v>NA</v>
      </c>
      <c r="P78" s="32">
        <f t="shared" si="11"/>
        <v>466</v>
      </c>
      <c r="AB78" s="70" t="s">
        <v>121</v>
      </c>
      <c r="AC78" s="70" t="s">
        <v>122</v>
      </c>
      <c r="AD78" s="70">
        <v>641</v>
      </c>
    </row>
    <row r="79" spans="2:34" x14ac:dyDescent="0.25">
      <c r="B79" s="32" t="s">
        <v>135</v>
      </c>
      <c r="C79" s="32" t="s">
        <v>136</v>
      </c>
      <c r="D79" s="32">
        <v>15</v>
      </c>
      <c r="E79" s="32">
        <v>60</v>
      </c>
      <c r="F79" s="32">
        <v>1</v>
      </c>
      <c r="G79" s="32">
        <v>377</v>
      </c>
      <c r="H79" s="32">
        <v>17</v>
      </c>
      <c r="I79" s="32">
        <v>22.18</v>
      </c>
      <c r="J79" s="32">
        <v>44641</v>
      </c>
      <c r="K79" s="32">
        <v>6.28</v>
      </c>
      <c r="L79" s="32">
        <v>21.18</v>
      </c>
      <c r="M79" s="32">
        <v>0</v>
      </c>
      <c r="N79" s="32">
        <f t="shared" si="9"/>
        <v>433</v>
      </c>
      <c r="O79" s="32" t="str">
        <f t="shared" si="10"/>
        <v>NA</v>
      </c>
      <c r="P79" s="32">
        <f t="shared" si="11"/>
        <v>433</v>
      </c>
      <c r="AB79" s="56" t="s">
        <v>86</v>
      </c>
      <c r="AC79" s="56" t="s">
        <v>49</v>
      </c>
      <c r="AD79" s="56">
        <v>635</v>
      </c>
    </row>
    <row r="80" spans="2:34" x14ac:dyDescent="0.25">
      <c r="B80" s="32" t="s">
        <v>258</v>
      </c>
      <c r="C80" s="32" t="s">
        <v>259</v>
      </c>
      <c r="D80" s="32">
        <v>11</v>
      </c>
      <c r="E80" s="32">
        <v>44</v>
      </c>
      <c r="F80" s="32">
        <v>1</v>
      </c>
      <c r="G80" s="32">
        <v>312</v>
      </c>
      <c r="H80" s="32">
        <v>16</v>
      </c>
      <c r="I80" s="32">
        <v>19.5</v>
      </c>
      <c r="J80" s="32">
        <v>44640</v>
      </c>
      <c r="K80" s="32">
        <v>7.09</v>
      </c>
      <c r="L80" s="32">
        <v>16.5</v>
      </c>
      <c r="M80" s="32">
        <v>0</v>
      </c>
      <c r="N80" s="32">
        <f t="shared" si="9"/>
        <v>408</v>
      </c>
      <c r="O80" s="32" t="str">
        <f t="shared" si="10"/>
        <v>NA</v>
      </c>
      <c r="P80" s="32">
        <f t="shared" si="11"/>
        <v>408</v>
      </c>
      <c r="AB80" s="56" t="s">
        <v>80</v>
      </c>
      <c r="AC80" s="56" t="s">
        <v>52</v>
      </c>
      <c r="AD80" s="56">
        <v>603</v>
      </c>
    </row>
    <row r="81" spans="2:34" x14ac:dyDescent="0.25">
      <c r="B81" s="32" t="s">
        <v>260</v>
      </c>
      <c r="C81" s="32" t="s">
        <v>124</v>
      </c>
      <c r="D81" s="32">
        <v>12</v>
      </c>
      <c r="E81" s="32">
        <v>44.5</v>
      </c>
      <c r="F81" s="32">
        <v>0</v>
      </c>
      <c r="G81" s="32">
        <v>438</v>
      </c>
      <c r="H81" s="32">
        <v>16</v>
      </c>
      <c r="I81" s="32">
        <v>27.38</v>
      </c>
      <c r="J81" s="32">
        <v>11414</v>
      </c>
      <c r="K81" s="32">
        <v>9.77</v>
      </c>
      <c r="L81" s="32">
        <v>16.809999999999999</v>
      </c>
      <c r="M81" s="32">
        <v>2</v>
      </c>
      <c r="N81" s="32">
        <f t="shared" si="9"/>
        <v>416</v>
      </c>
      <c r="O81" s="32">
        <f t="shared" si="10"/>
        <v>-2</v>
      </c>
      <c r="P81" s="32">
        <f t="shared" si="11"/>
        <v>414</v>
      </c>
      <c r="AB81" s="67" t="s">
        <v>93</v>
      </c>
      <c r="AC81" s="67" t="s">
        <v>66</v>
      </c>
      <c r="AD81" s="67">
        <v>504</v>
      </c>
    </row>
    <row r="83" spans="2:34" ht="18.75" x14ac:dyDescent="0.3">
      <c r="AB83" s="66" t="s">
        <v>316</v>
      </c>
      <c r="AC83" s="66"/>
    </row>
    <row r="84" spans="2:34" ht="18.75" x14ac:dyDescent="0.3">
      <c r="AB84" s="31" t="s">
        <v>35</v>
      </c>
      <c r="AC84" s="31" t="s">
        <v>36</v>
      </c>
      <c r="AD84" s="31" t="s">
        <v>321</v>
      </c>
      <c r="AG84" s="31" t="s">
        <v>310</v>
      </c>
      <c r="AH84" s="31" t="s">
        <v>311</v>
      </c>
    </row>
    <row r="85" spans="2:34" x14ac:dyDescent="0.25">
      <c r="AB85" s="56" t="s">
        <v>54</v>
      </c>
      <c r="AC85" s="56" t="s">
        <v>55</v>
      </c>
      <c r="AD85" s="56">
        <v>871</v>
      </c>
      <c r="AG85" s="53" t="s">
        <v>297</v>
      </c>
      <c r="AH85" s="53">
        <f>AD85*2</f>
        <v>1742</v>
      </c>
    </row>
    <row r="86" spans="2:34" x14ac:dyDescent="0.25">
      <c r="AB86" s="70" t="s">
        <v>89</v>
      </c>
      <c r="AC86" s="70" t="s">
        <v>58</v>
      </c>
      <c r="AD86" s="70">
        <v>844</v>
      </c>
      <c r="AG86" s="53" t="s">
        <v>298</v>
      </c>
      <c r="AH86" s="53">
        <f>AD86*1.5</f>
        <v>1266</v>
      </c>
    </row>
    <row r="87" spans="2:34" x14ac:dyDescent="0.25">
      <c r="AB87" s="56" t="s">
        <v>48</v>
      </c>
      <c r="AC87" s="56" t="s">
        <v>49</v>
      </c>
      <c r="AD87" s="56">
        <v>756</v>
      </c>
      <c r="AG87" s="53" t="s">
        <v>112</v>
      </c>
      <c r="AH87" s="54">
        <f>SUM(AD87:AD95)+AH85+AH86</f>
        <v>8490</v>
      </c>
    </row>
    <row r="88" spans="2:34" x14ac:dyDescent="0.25">
      <c r="AB88" s="56" t="s">
        <v>110</v>
      </c>
      <c r="AC88" s="56" t="s">
        <v>68</v>
      </c>
      <c r="AD88" s="56">
        <v>677</v>
      </c>
    </row>
    <row r="89" spans="2:34" x14ac:dyDescent="0.25">
      <c r="AB89" s="56" t="s">
        <v>59</v>
      </c>
      <c r="AC89" s="56" t="s">
        <v>58</v>
      </c>
      <c r="AD89" s="56">
        <v>656</v>
      </c>
    </row>
    <row r="90" spans="2:34" x14ac:dyDescent="0.25">
      <c r="AB90" s="56" t="s">
        <v>51</v>
      </c>
      <c r="AC90" s="56" t="s">
        <v>52</v>
      </c>
      <c r="AD90" s="56">
        <v>647</v>
      </c>
    </row>
    <row r="91" spans="2:34" x14ac:dyDescent="0.25">
      <c r="AB91" s="56" t="s">
        <v>86</v>
      </c>
      <c r="AC91" s="56" t="s">
        <v>49</v>
      </c>
      <c r="AD91" s="56">
        <v>635</v>
      </c>
    </row>
    <row r="92" spans="2:34" x14ac:dyDescent="0.25">
      <c r="AB92" s="56" t="s">
        <v>80</v>
      </c>
      <c r="AC92" s="56" t="s">
        <v>52</v>
      </c>
      <c r="AD92" s="56">
        <v>603</v>
      </c>
    </row>
    <row r="93" spans="2:34" x14ac:dyDescent="0.25">
      <c r="AB93" s="56" t="s">
        <v>63</v>
      </c>
      <c r="AC93" s="56" t="s">
        <v>62</v>
      </c>
      <c r="AD93" s="56">
        <v>568</v>
      </c>
    </row>
    <row r="94" spans="2:34" x14ac:dyDescent="0.25">
      <c r="AB94" s="70" t="s">
        <v>93</v>
      </c>
      <c r="AC94" s="70" t="s">
        <v>66</v>
      </c>
      <c r="AD94" s="70">
        <v>504</v>
      </c>
    </row>
    <row r="95" spans="2:34" x14ac:dyDescent="0.25">
      <c r="AB95" s="70" t="s">
        <v>249</v>
      </c>
      <c r="AC95" s="70" t="s">
        <v>62</v>
      </c>
      <c r="AD95" s="70">
        <v>436</v>
      </c>
    </row>
  </sheetData>
  <sortState ref="AB65:AD75">
    <sortCondition descending="1" ref="AD65:AD75"/>
  </sortState>
  <mergeCells count="10">
    <mergeCell ref="AB55:AC55"/>
    <mergeCell ref="AB69:AC69"/>
    <mergeCell ref="AB20:AC20"/>
    <mergeCell ref="AB83:AC83"/>
    <mergeCell ref="AB34:AC34"/>
    <mergeCell ref="W6:X6"/>
    <mergeCell ref="W55:X55"/>
    <mergeCell ref="B3:E3"/>
    <mergeCell ref="AB6:AC6"/>
    <mergeCell ref="B1:C1"/>
  </mergeCell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7:L12"/>
  <sheetViews>
    <sheetView workbookViewId="0">
      <selection activeCell="D19" sqref="D19"/>
    </sheetView>
  </sheetViews>
  <sheetFormatPr defaultRowHeight="15" x14ac:dyDescent="0.25"/>
  <cols>
    <col min="2" max="2" width="34.5703125" bestFit="1" customWidth="1"/>
    <col min="3" max="3" width="20.7109375" bestFit="1" customWidth="1"/>
    <col min="4" max="4" width="13.28515625" customWidth="1"/>
    <col min="5" max="5" width="14.28515625" customWidth="1"/>
    <col min="6" max="7" width="22" customWidth="1"/>
    <col min="8" max="8" width="31.42578125" customWidth="1"/>
  </cols>
  <sheetData>
    <row r="7" spans="2:12" ht="22.5" x14ac:dyDescent="0.45">
      <c r="B7" s="82" t="s">
        <v>322</v>
      </c>
      <c r="C7" s="82" t="s">
        <v>324</v>
      </c>
      <c r="D7" s="82">
        <v>2020</v>
      </c>
      <c r="E7" s="82">
        <v>2019</v>
      </c>
      <c r="F7" s="82" t="s">
        <v>302</v>
      </c>
      <c r="G7" s="82" t="s">
        <v>303</v>
      </c>
      <c r="H7" s="82" t="s">
        <v>304</v>
      </c>
    </row>
    <row r="8" spans="2:12" x14ac:dyDescent="0.25">
      <c r="B8" s="86" t="s">
        <v>5</v>
      </c>
      <c r="C8" s="83"/>
      <c r="D8" s="83">
        <v>8193.5</v>
      </c>
      <c r="E8" s="83">
        <v>8344</v>
      </c>
      <c r="F8" s="83">
        <v>8761</v>
      </c>
      <c r="G8" s="83">
        <f>AVERAGE(D8:F8)</f>
        <v>8432.8333333333339</v>
      </c>
      <c r="H8" s="83">
        <f>ABS(E8-D8)</f>
        <v>150.5</v>
      </c>
      <c r="J8" s="68"/>
      <c r="K8" s="32" t="s">
        <v>328</v>
      </c>
      <c r="L8" s="32"/>
    </row>
    <row r="9" spans="2:12" x14ac:dyDescent="0.25">
      <c r="B9" s="86" t="s">
        <v>6</v>
      </c>
      <c r="C9" s="83"/>
      <c r="D9" s="83">
        <v>7066.5</v>
      </c>
      <c r="E9" s="83">
        <v>6537.5</v>
      </c>
      <c r="F9" s="83">
        <v>7598.5</v>
      </c>
      <c r="G9" s="83">
        <f t="shared" ref="G9:G12" si="0">AVERAGE(D9:F9)</f>
        <v>7067.5</v>
      </c>
      <c r="H9" s="83">
        <f t="shared" ref="H9:H12" si="1">ABS(E9-D9)</f>
        <v>529</v>
      </c>
    </row>
    <row r="10" spans="2:12" x14ac:dyDescent="0.25">
      <c r="B10" s="86" t="s">
        <v>327</v>
      </c>
      <c r="C10" s="84" t="s">
        <v>323</v>
      </c>
      <c r="D10" s="83">
        <v>8643</v>
      </c>
      <c r="E10" s="83">
        <v>8565</v>
      </c>
      <c r="F10" s="85">
        <v>9505</v>
      </c>
      <c r="G10" s="83">
        <f t="shared" si="0"/>
        <v>8904.3333333333339</v>
      </c>
      <c r="H10" s="83">
        <f t="shared" si="1"/>
        <v>78</v>
      </c>
    </row>
    <row r="11" spans="2:12" x14ac:dyDescent="0.25">
      <c r="B11" s="86" t="s">
        <v>327</v>
      </c>
      <c r="C11" s="84" t="s">
        <v>325</v>
      </c>
      <c r="D11" s="85">
        <v>8758</v>
      </c>
      <c r="E11" s="85">
        <v>8801</v>
      </c>
      <c r="F11" s="83">
        <v>9466</v>
      </c>
      <c r="G11" s="85">
        <f t="shared" si="0"/>
        <v>9008.3333333333339</v>
      </c>
      <c r="H11" s="83">
        <f t="shared" si="1"/>
        <v>43</v>
      </c>
    </row>
    <row r="12" spans="2:12" x14ac:dyDescent="0.25">
      <c r="B12" s="86" t="s">
        <v>8</v>
      </c>
      <c r="C12" s="84" t="s">
        <v>326</v>
      </c>
      <c r="D12" s="83">
        <v>8290.5</v>
      </c>
      <c r="E12" s="83">
        <v>8490</v>
      </c>
      <c r="F12" s="83">
        <v>9156</v>
      </c>
      <c r="G12" s="83">
        <f t="shared" si="0"/>
        <v>8645.5</v>
      </c>
      <c r="H12" s="83">
        <f t="shared" si="1"/>
        <v>199.5</v>
      </c>
      <c r="J1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Questions</vt:lpstr>
      <vt:lpstr>Hypothesis</vt:lpstr>
      <vt:lpstr>Rules</vt:lpstr>
      <vt:lpstr>Batsmen 20</vt:lpstr>
      <vt:lpstr>Bowlers 20</vt:lpstr>
      <vt:lpstr>All Rounders 20</vt:lpstr>
      <vt:lpstr>Batsmen 19</vt:lpstr>
      <vt:lpstr>Bowlers 19</vt:lpstr>
      <vt:lpstr>All Rounders 19</vt:lpstr>
      <vt:lpstr>HYP1 </vt:lpstr>
      <vt:lpstr>HYP2</vt:lpstr>
      <vt:lpstr>HYP3</vt:lpstr>
      <vt:lpstr>HYP4</vt:lpstr>
      <vt:lpstr>Insight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abc</cp:lastModifiedBy>
  <dcterms:created xsi:type="dcterms:W3CDTF">2022-07-05T04:44:40Z</dcterms:created>
  <dcterms:modified xsi:type="dcterms:W3CDTF">2022-08-22T11:08:08Z</dcterms:modified>
</cp:coreProperties>
</file>